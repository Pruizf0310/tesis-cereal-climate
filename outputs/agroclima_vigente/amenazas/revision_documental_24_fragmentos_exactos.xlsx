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ola\Tesis\03_Resultados\Fenologia\"/>
    </mc:Choice>
  </mc:AlternateContent>
  <xr:revisionPtr revIDLastSave="0" documentId="13_ncr:1_{87F4857E-E2B4-47FC-ADE0-9A8BBCA89423}" xr6:coauthVersionLast="47" xr6:coauthVersionMax="47" xr10:uidLastSave="{00000000-0000-0000-0000-000000000000}"/>
  <bookViews>
    <workbookView xWindow="-110" yWindow="-110" windowWidth="19420" windowHeight="11500" xr2:uid="{00000000-000D-0000-FFFF-FFFF00000000}"/>
  </bookViews>
  <sheets>
    <sheet name="Tabla maestra" sheetId="5" r:id="rId1"/>
    <sheet name="Auditoría web" sheetId="1" r:id="rId2"/>
    <sheet name="Correspondencia de fases" sheetId="6" r:id="rId3"/>
    <sheet name="Fuentes únicas" sheetId="2" state="hidden" r:id="rId4"/>
    <sheet name="Hoja1" sheetId="3" state="hidden" r:id="rId5"/>
    <sheet name="Resumen por cultivo" sheetId="4"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2" l="1"/>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I62" i="2"/>
  <c r="I61" i="2"/>
  <c r="H61" i="2"/>
  <c r="I60" i="2"/>
  <c r="H60" i="2"/>
  <c r="I59" i="2"/>
  <c r="H59" i="2"/>
  <c r="I58" i="2"/>
  <c r="H58" i="2"/>
  <c r="I57" i="2"/>
  <c r="H57" i="2"/>
  <c r="I56" i="2"/>
  <c r="H56" i="2"/>
  <c r="I55" i="2"/>
  <c r="I54" i="2"/>
  <c r="I53" i="2"/>
  <c r="I52" i="2"/>
  <c r="H52" i="2"/>
  <c r="I51" i="2"/>
  <c r="I50" i="2"/>
  <c r="H50" i="2"/>
  <c r="I49" i="2"/>
  <c r="H49" i="2"/>
  <c r="I48" i="2"/>
  <c r="H48" i="2"/>
  <c r="I47" i="2"/>
  <c r="H47" i="2"/>
  <c r="I46" i="2"/>
  <c r="H46" i="2"/>
  <c r="I45" i="2"/>
  <c r="I44" i="2"/>
  <c r="I43" i="2"/>
  <c r="I42" i="2"/>
  <c r="N88" i="1"/>
  <c r="N87" i="1"/>
  <c r="M87" i="1"/>
  <c r="N86" i="1"/>
  <c r="N85" i="1"/>
  <c r="M85" i="1"/>
  <c r="N84" i="1"/>
  <c r="M84" i="1"/>
  <c r="N83" i="1"/>
  <c r="M83" i="1"/>
  <c r="N82" i="1"/>
  <c r="M82" i="1"/>
  <c r="N81" i="1"/>
  <c r="M81" i="1"/>
  <c r="N80" i="1"/>
  <c r="N79" i="1"/>
  <c r="N78" i="1"/>
  <c r="M78" i="1"/>
  <c r="N77" i="1"/>
  <c r="N76" i="1"/>
  <c r="M76" i="1"/>
  <c r="N75" i="1"/>
  <c r="M75" i="1"/>
  <c r="N74" i="1"/>
  <c r="M74" i="1"/>
  <c r="N73" i="1"/>
  <c r="M73" i="1"/>
  <c r="N72" i="1"/>
  <c r="M72" i="1"/>
  <c r="N71" i="1"/>
  <c r="N70" i="1"/>
  <c r="N69" i="1"/>
  <c r="N68" i="1"/>
</calcChain>
</file>

<file path=xl/sharedStrings.xml><?xml version="1.0" encoding="utf-8"?>
<sst xmlns="http://schemas.openxmlformats.org/spreadsheetml/2006/main" count="6200" uniqueCount="1636">
  <si>
    <t>Auditoría paper por paper de los umbrales publicados en CerealRisk</t>
  </si>
  <si>
    <t>Cultivo</t>
  </si>
  <si>
    <t>Fase
 código</t>
  </si>
  <si>
    <t>Fase</t>
  </si>
  <si>
    <t>Amenaza</t>
  </si>
  <si>
    <t>Umbral publicado en la web</t>
  </si>
  <si>
    <t>Categoría de evidencia</t>
  </si>
  <si>
    <t>Interpretación/impacto en la web</t>
  </si>
  <si>
    <t>Impacto cuantitativo en la web</t>
  </si>
  <si>
    <t>Fuente</t>
  </si>
  <si>
    <t>Página
 PDF</t>
  </si>
  <si>
    <t>Párrafo localizado en el paper</t>
  </si>
  <si>
    <t>Limitaciones ya declaradas en la web</t>
  </si>
  <si>
    <t>Abrir PDF local</t>
  </si>
  <si>
    <t>Abrir DOI/URL</t>
  </si>
  <si>
    <t>Rule ID</t>
  </si>
  <si>
    <t>Estado de revisión</t>
  </si>
  <si>
    <t>Comentario del revisor</t>
  </si>
  <si>
    <t>Fase que suele usar el paper - homologación</t>
  </si>
  <si>
    <t>Macrofase que debería corresponder</t>
  </si>
  <si>
    <t>VE</t>
  </si>
  <si>
    <t>Germination and emergence</t>
  </si>
  <si>
    <t>Soil chilling</t>
  </si>
  <si>
    <t>Minimum temperature during emergence &lt; 6 °C for 2 hours per episode; 2, 4 and 6 hours were compared</t>
  </si>
  <si>
    <t>Verified experimental threshold</t>
  </si>
  <si>
    <t>Delayed and uneven emergence with reduced dry-matter accumulation.</t>
  </si>
  <si>
    <t>Temperatures below 6 °C significantly reduced emergence; at ≤2 °C, final emergence was below 50% in unfavorable moisture combinations.</t>
  </si>
  <si>
    <t>PLOS ONE 2026</t>
  </si>
  <si>
    <t>The following metrics were calculated: • Final Germination Rate (%) = (Number of emerged seeds/ Total sown seeds) × 100 • Weighted Germination Time (WGT): average germination timing considering emergence distribution • Germination Synchrony: proportion of germinated seeds within peak emergence window • Germination Delay Days: days until the first seed emerged On day 30, seedlings were harvested, and shoot dry weight was measured after oven-drying at 80°C for 72 hours. Data analysis All data were processed using Mic</t>
  </si>
  <si>
    <t>Response depends strongly on soil moisture and exposure duration.</t>
  </si>
  <si>
    <t>MAIZE_EMERGENCE_COLD6</t>
  </si>
  <si>
    <t>Pendiente de revisión humana</t>
  </si>
  <si>
    <t>Evitar siembra en rango 0-2°C
La humedad del suelo previa puede ayudar, pero es otra historia
Revisión de fase: Germinación y emergencia de semillas de maíz. Fuente: PLOS ONE 2026, PDF pp. 1, 3–4.</t>
  </si>
  <si>
    <t>Germination / emergence → EST – Establecimiento</t>
  </si>
  <si>
    <t>EST – Establecimiento</t>
  </si>
  <si>
    <t>V1_V6</t>
  </si>
  <si>
    <t>Early vegetative development</t>
  </si>
  <si>
    <t>Drought</t>
  </si>
  <si>
    <t>Soil water potential &lt;= -0.51 MPa for 4 days after irrigation was withheld in 15-day-old plants</t>
  </si>
  <si>
    <t>Verified physiological threshold</t>
  </si>
  <si>
    <t>Leaf elongation was inhibited; root growth was inhibited later under more severe drying.</t>
  </si>
  <si>
    <t>Leaf inhibition began on day 4 below −0.51 MPa; root inhibition occurred on days 5–6 between −0.63 and −0.81 MPa.</t>
  </si>
  <si>
    <t>Voothuluru et al. 2017</t>
  </si>
  <si>
    <t>Root growth was initially stimulated during drying (when SWP decreased from –0.31 MPa to –0.38 MPa, compared with –0.29 MPa in well-watered pots), followed by inhibition during Days 5–6 (SWP from –0.63 MPa to –0.81 MPa). Abscisic acid (ABA) in the root began to accumulate as the root water potential declined during Days 2–3. Leaf elongation was inhibited from Day 4 (SWP less than –0.51 MPa), just after leaf ABA content began to increase, but coinciding with a decline in leaf water potential. The stomatal conductanc</t>
  </si>
  <si>
    <t>The threshold represents leaf-growth inhibition, not a direct yield-loss threshold.</t>
  </si>
  <si>
    <t>MAIZE_EARLYVEG_DROUGHT_SWP051_4D</t>
  </si>
  <si>
    <t>Leaf elongation was inhibited from Day 4 (SWP less than –0.51 MPa), just after leaf ABA content began to increase, but coinciding with a decline in leaf water potential.
Verificado como umbral de afectación del crecimiento. En los primeros 15 días de crecimiento.
Revisión de fase: Se estudia elongación de hojas y raíces; no se asigna un código V exacto por edad. Fuente: Voothuluru et al. 2017, PDF pp. 1–2.</t>
  </si>
  <si>
    <t>Crecimiento de hojas y raíces en plantas de 15 días → VEG – Crecimiento vegetativo</t>
  </si>
  <si>
    <t>VEG – Crecimiento vegetativo</t>
  </si>
  <si>
    <t>V7_VT</t>
  </si>
  <si>
    <t>Late vegetative growth and tasseling</t>
  </si>
  <si>
    <t>Heat during tasseling</t>
  </si>
  <si>
    <t>Day/night temperature during tasseling &gt;= 38 °C día for 15 consecutive days under a 38/30 °C day/night regime</t>
  </si>
  <si>
    <t>Damaging experimental treatment</t>
  </si>
  <si>
    <t>Reduced growth, photosynthesis, nutrient uptake and yield formation.</t>
  </si>
  <si>
    <t>Significant effects on growth and yield components; magnitude depended on hybrid and interaction with drought.</t>
  </si>
  <si>
    <t>Hussain et al. 2019</t>
  </si>
  <si>
    <t>The present study investigated the individual and interactive effects of drought (50% field capacity) and heat (38 °C/30 °C) stresses on morpho-physiological growth, yield, nutrient uptake and oxidative metabolism in two maize hybrids i.e., ‘Xida 889’ and ‘Xida 319’. The stress treatments were applied at tasseling stage for 15 days. Drought, heat and drought + heat stress caused oxidative stress by the over-production of ROS (O 2− , H2o 2, OH− ) and enhanced malondialdehyde contents, which led to reduced photosynth</t>
  </si>
  <si>
    <t>A single severe treatment was evaluated; it is not a universal damage-onset threshold.</t>
  </si>
  <si>
    <t>MAIZE_TASSEL_HEAT38_30_15D</t>
  </si>
  <si>
    <t>Maize is a sensitive crop to drought and heat stresses, particularly at the reproductive stages of development. The present study investigated the individual and interactive effects of drought (50% field capacity) and heat (38 °C/30 °C) stresses on morpho-physiological growth, yield, nutrient uptake and oxidative metabolism in two maize hybrids i.e., ‘Xida 889’ and ‘Xida 319’. The stress treatments were applied at tasseling stage for 15 days. 
VERIFICADO
Revisión de fase: Se conserva VEG para tasseling conforme a la asignación explícita V7_VT de Hoja1, aunque el paper lo describa como período reproductivo. Fuente: Hussain et al. 2019, PDF p. 1.</t>
  </si>
  <si>
    <t>Tasseling → VEG – Crecimiento vegetativo</t>
  </si>
  <si>
    <t>R1</t>
  </si>
  <si>
    <t>Silking, pollination and seed set</t>
  </si>
  <si>
    <t>Daytime heat</t>
  </si>
  <si>
    <t>Daytime temperature &gt; 37.9 °C</t>
  </si>
  <si>
    <t>Modeled threshold</t>
  </si>
  <si>
    <t>Seed set is significantly reduced above the modeled daytime flowering threshold.</t>
  </si>
  <si>
    <t>Effect size varies among experiments</t>
  </si>
  <si>
    <t>Liu et al. 2023</t>
  </si>
  <si>
    <t>The responses of seed set to HT involve multiple processes in both male and female reproductive organs, but we currently lack an integrated and systematic summary of these responses for the world’s three leading food crops (rice, wheat, and maize). In the present work, we deﬁne the critical high temperature thresholds for seed set in rice (37.2 /C14C ± 0.2/C14C), wheat (27.3 /C14C ± 0.5/C14C), and maize (37.9 /C14C ± 0.4/C14C) during ﬂowering. We assess the HT sensitivity of these three cereals from the microspore</t>
  </si>
  <si>
    <t>SE 0.4 °C; modeled threshold for significant seed-set reduction.</t>
  </si>
  <si>
    <t>MAIZE_HEAT_DAY37_9</t>
  </si>
  <si>
    <t>Si se supera esa temperatura: Disminución del cuajado de semilla por alteración de la polinización y fertilización; cierre floral y detención de la elongación del tubo polínico
Revisión de fase: El momento del estrés es flowering. Seed set es la respuesta evaluada; no demuestra por separado un umbral para cuajado posterior. Fuente: Liu et al. 2023, PDF pp. 1–3, figura 1.</t>
  </si>
  <si>
    <t>Flowering; respuesta: seed set → FLO – Floración</t>
  </si>
  <si>
    <t>FLO – Floración + REP – Desarrollo reproductivo</t>
  </si>
  <si>
    <t>Nighttime heat</t>
  </si>
  <si>
    <t>Night temperature ≈ 27.3 °C during flowering</t>
  </si>
  <si>
    <t>Review-derived tentative HNT threshold</t>
  </si>
  <si>
    <t>Night heat around silking and pollination is associated with reduced seed set.</t>
  </si>
  <si>
    <t>Yield loss is expected to be exacerbated if heat waves occur at the ﬂowering stage, as this is the most heat-sensitive period for successful sex- ual reproduction and grain yield formation ( Hedhly et al., 2009 ; Lohani et al., 2020; Xu et al., 2020; Impa et al., 2021). The rapid increase in global nighttime temperature, which has been rising 1.4 times faster than daytime temperature over the past ﬁve decades ( Solomon et al., 2007 ), makes nighttime heat stress another threat to food production ( Coast et al., 201</t>
  </si>
  <si>
    <t>SE 1.3 °C; the reported duration is not a maximum tolerable duration.</t>
  </si>
  <si>
    <t>MAIZE_HEAT_NIGHT27_3</t>
  </si>
  <si>
    <t>Umbral derivado.
El paper sí deriva para maíz un umbral de alta temperatura nocturna durante flowering de 27.3 °C, y deja claro que la respuesta se relaciona con seed set. Es un valor tentativo derivado de la revisión, no un tratamiento de un único experimento.
Revisión de fase: El umbral nocturno se refiere a flowering, homologado FLO; no se homologa toda la reproducción como REP. Fuente: Liu et al. 2023, PDF pp. 2–3, figura 1.</t>
  </si>
  <si>
    <t>R2</t>
  </si>
  <si>
    <t>Blister stage</t>
  </si>
  <si>
    <t>Heat during early grain filling</t>
  </si>
  <si>
    <t>Day/night temperature after pollination &gt;= 42 °C día for 6 days to the first significant response; treatment continued until harvest</t>
  </si>
  <si>
    <t>Lower seed set, grain-filling rate, thousand-kernel weight and starch accumulation.</t>
  </si>
  <si>
    <t>Significant phenotypic differences appeared 6–8 days after pollination.</t>
  </si>
  <si>
    <t>Li et al. 2025</t>
  </si>
  <si>
    <t>To further verify the heat tolerance phenotype of these 15 maize inbred lines, a randomized complete block design with three replications was employed in the Shandong Agricultural University experimental ﬁeld located in Tai ’an, Shandong, during the year 2022. The heat sensitivity of the 15 maize inbred lines was assessed. Sowing occurred on June 10th, pollination date is around August 15th, with harvest taking place between October 10th and October 15th. Ultimately, the heat-tolerant maize inbred line Zheng58 and</t>
  </si>
  <si>
    <t>Severe treatment without a temperature gradient; the complete exposure continued to harvest.</t>
  </si>
  <si>
    <t>MAIZE_EARLYFILL_HEAT42_30_6D</t>
  </si>
  <si>
    <t>Este paper no sirve, solo dice que pasó bajo dos escenarios de temperatura, más no, cual es la temperatura límite
Revisión de fase: La ventana posterior a polinización incluye llenado temprano; no se exige equivalencia exclusiva con R2. Fuente: Li et al. 2025, PDF pp. 3–4.</t>
  </si>
  <si>
    <t>Grain filling después de polinización → FIL – Llenado de grano/semilla</t>
  </si>
  <si>
    <t>FIL – Llenado de grano/semilla</t>
  </si>
  <si>
    <t>R3</t>
  </si>
  <si>
    <t>Milk stage</t>
  </si>
  <si>
    <t>Este paper no sirve, solo dice que pasó bajo dos escenarios de temperatura, más no, cual es la temperatura límite
Revisión de fase: El tratamiento continúa después de polinización y abarca llenado; la homologación es FIL, sin validar el umbral. Fuente: Li et al. 2025, PDF pp. 3–4.</t>
  </si>
  <si>
    <t>R4_R5</t>
  </si>
  <si>
    <t>Dough to dent stage</t>
  </si>
  <si>
    <t>Heat</t>
  </si>
  <si>
    <t>Mean treatment Tmax &gt;= 39.4 °C for 6.0 days, 08:00–18:00</t>
  </si>
  <si>
    <t>Short-term heat during effective grain filling reduces photosynthesis, grain weight and yield.</t>
  </si>
  <si>
    <t>Yield −11.6% to −17.6%; 100-grain weight −5.1% to −10.1%</t>
  </si>
  <si>
    <t>Zhang et al. 2023</t>
  </si>
  <si>
    <t>In 2019 and 2021, the greenhouse increased the temperature on average by 3.48◦C and 5.32 ◦C during the lag stage, and by 2.96 ◦C and 4.87 ◦C during the effective-ﬁlling stage, compared with the non-heated control (CK), respectively. The average maximum temperature under heat stress during the lag stage was 38.8 ◦C and 40.8 ◦C, and during the effective-ﬁlling stage was 39.4 ◦C and 41.5 ◦C, in 2019 and 2021, respectively. In 2020, the average maximum temperature of LSH and FSH was only 30.9 ◦C and 32.9 ◦C, respective</t>
  </si>
  <si>
    <t>The 39.4–41.5 °C treatment caused damage but does not estimate damage onset.</t>
  </si>
  <si>
    <t>MAIZE_HEAT_FILL39_4_41_5</t>
  </si>
  <si>
    <t>El paper indica que el tratamiento de alta temperatura nocturna comenzó 15 días después de silking, una vez superadas la floración y la lag phase, y se mantuvo durante 18 días consecutivos, es decir, aproximadamente entre los 15 y 32 días después de silking, durante lo que los autores denominan effective grain-filling stage. En la escala reproductiva del maíz, R4 (dough) inicia aproximadamente a los 24–26 días después de silking y R5 (dent) alrededor de los 31–33 días. Por tanto, R4 y el inicio de R5 quedan comprendidos dentro de la ventana experimental del paper, por lo que el umbral puede conservarse como referencia para la fase agrupada R4–R5, teniendo en cuenta que la exposición cubre principalmente R4 y solo el inicio de R5.
Revisión de fase: Aclaración al comentario previo: Zhang 2023 aplica calor diurno durante 6 días, 25–30 días después de silking. La ventana de 15–32 días y calor nocturno corresponde a Wang 2026, no a esta fuente. Ambas ventanas pertenecen a FIL. Fuente: Zhang et al. 2023, PDF p. 3, sección 2.2.</t>
  </si>
  <si>
    <t>Effective-filling stage, 25–30 días después de silking → FIL – Llenado de grano/semilla</t>
  </si>
  <si>
    <t>High nighttime temperature during grain filling</t>
  </si>
  <si>
    <t>Minimum/night temperature during effective grain filling &gt;= 28 °C for 18 consecutive nights beginning 15 days after silking</t>
  </si>
  <si>
    <t>Damaging experimental treatment with temperature gradient</t>
  </si>
  <si>
    <t>Reduced yield and altered starch, lipid and protein composition.</t>
  </si>
  <si>
    <t>The sensitive hybrid showed significant yield loss at 28 °C; response varied by hybrid and temperature.</t>
  </si>
  <si>
    <t>Wang et al. 2026</t>
  </si>
  <si>
    <t>High night temperature during the effective grain- ﬁlling stage affects maize yield and quality Shumei Wang1,2, Teng Li2, Shuo Liu2, Sai Zhang2, Peng Sui2* and Xuepeng Zhang1* 1Crop Research Institute, Shandong Academy of Agricultural Sciences, Jinan, China, 2College of Agronomy, China Agricultural University, Beijing, China Global warming has led to a disproportionate increase in night temperature, imposing additional constraints on crop growth and yield.</t>
  </si>
  <si>
    <t>28 °C was the lowest treatment producing significant loss in the sensitive hybrid; another hybrid responded significantly at 30 °C.</t>
  </si>
  <si>
    <t>MAIZE_HNT_FILL28_18D</t>
  </si>
  <si>
    <t>etapa en la que se acumula la mayor parte de la materia seca final del grano.
El paper denomina la fase como effective grain-filling stage. El tratamiento inició 15 días después de silking y se mantuvo durante 18 días consecutivos (aprox. 15–32 DAS). R5 inicia aproximadamente a los 31–33 DAS, por lo que el tratamiento alcanza el inicio de R5, aunque no corresponde exclusivamente a esta fase. El umbral se conserva dentro de la categoría agrupada R4–R5 por solapamiento temporal.
Revisión de fase: El tratamiento nocturno dura 18 días dentro del llenado efectivo; corresponde a FIL. Fuente: Wang et al. 2026, PDF pp. 2–3.</t>
  </si>
  <si>
    <t>Effective grain-filling stage, desde 15 días después de silking → FIL – Llenado de grano/semilla</t>
  </si>
  <si>
    <t>R6</t>
  </si>
  <si>
    <t>Physiological maturity</t>
  </si>
  <si>
    <t>Wind and lodging</t>
  </si>
  <si>
    <t>Wind speed &gt; 15 m/s; gust or wind event; duration not reported</t>
  </si>
  <si>
    <t>Transferred candidate</t>
  </si>
  <si>
    <t>Stalk breakage, lodging and greater losses under delayed harvest.</t>
  </si>
  <si>
    <t>Maximum stalk resistance occurred 16–24 days after physiological maturity; lodging increased with delayed harvest.</t>
  </si>
  <si>
    <t>Xue et al. 2020</t>
  </si>
  <si>
    <t>Page 7 of 12 Xue et al. Plant Methods (2020) 16:148 Relationship between wind speed and torque The torque at the base of maize plant increased as wind speed increased (Fig. 6). When the wind speed was higher than 15 m s−1, the difference of torque between cultivars becomes larger. Under the same wind speed conditions, the cultivar ZD909 had the highest torque. This because of ZD909 had the latest maturity date and highest green leaf area in four maize cultivars when measuring torque at the same date.</t>
  </si>
  <si>
    <t>15 m/s marks increasing cultivar separation, not a universal stalk-breaking threshold.</t>
  </si>
  <si>
    <t>MAIZE_R6_WIND15</t>
  </si>
  <si>
    <t>Maximum modeled resistance ≈ 32.0–32.4 m/s at 16–24 d after PM, followed by declining stalk strength. Según la gráfica.
Revisión de fase: El período de resistencia al acame incluye madurez fisiológica y posmadurez; corresponde a MAT. Fuente: Xue et al. 2020, PDF pp. 1–2, 4.</t>
  </si>
  <si>
    <t>Physiological maturity y secado posterior → MAT – Maduración</t>
  </si>
  <si>
    <t>MAT – Maduración</t>
  </si>
  <si>
    <t>BBCH_00_09</t>
  </si>
  <si>
    <t>Heat during germination</t>
  </si>
  <si>
    <t>Germination temperature &gt;= 38 °C for 24 hours of continuous exposure</t>
  </si>
  <si>
    <t>Strong inhibition of germination and seed protrusion, with hormonal and oxidative disruption.</t>
  </si>
  <si>
    <t>At 38 °C, betaine increased germination 43.77-fold relative to the stressed untreated control, indicating nearly suppressed baseline germination.</t>
  </si>
  <si>
    <t>Zhang et al. 2022</t>
  </si>
  <si>
    <t>Spraying 50 mM or 100 mM concentrations of betaine on the leaves effectively enhanced the osmotic adjustment ability of rice and improved its adaptability to osmotic stresses, such as salt, drought and heat stress [29–31]. These reports mostly investigate the effect of betaine on rice-plant morphogenesis; however, we lack research on the seed germination stage before seedling morphogenesis, and we do not yet understand the molecular mechanism of betaine to alleviate stress damage. In order to study the mechanism of</t>
  </si>
  <si>
    <t>38 °C was the lowest tested treatment with extreme inhibition; 35 °C did not produce a significant effect. Betaine modified the response.</t>
  </si>
  <si>
    <t>RICE_GERMINATION_HEAT38_24H</t>
  </si>
  <si>
    <t>El estudio evaluó temperaturas de 26, 32, 35 y 38 °C, concluyendo que a 38 °C la germinación de la mayoría de las semillas se inhibe significativamente y es "casi nula". Los experimentos y el análisis de transcriptoma se realizaron tras someter a las semillas a estrés por calor a 38 °C durante 24 horas
Revisión de fase: El experimento de germinación corresponde a EST. Fuente: Zhang et al. 2022, PDF pp. 1, 3–4.</t>
  </si>
  <si>
    <t>Seed germination → EST – Establecimiento</t>
  </si>
  <si>
    <t>BBCH_10_19</t>
  </si>
  <si>
    <t>Seedling and early leaves</t>
  </si>
  <si>
    <t>Flooding / complete submergence</t>
  </si>
  <si>
    <t>Duration of complete submergence &gt;= 7 days for 7 days of complete submergence</t>
  </si>
  <si>
    <t>Genotype-dependent operational threshold</t>
  </si>
  <si>
    <t>High mortality in sensitive varieties; SUB1 varieties showed greater survival.</t>
  </si>
  <si>
    <t>Popular sensitive varieties commonly died within 7 days; SUB1 conferred an advantage after 7–15 days.</t>
  </si>
  <si>
    <t>Bailey-Serres et al. 2010</t>
  </si>
  <si>
    <t>An estimated ten million hectares in Bangladesh and India alone are marginalized by the threat of flooding each Monsoon season (Huke and Huke 1997). As a coping strategy, farmers have traditionally cultivated chronically flood-prone lowlands with landraces that can endure 10 days or more of complete submergence and resume growth upon de-submergence (Catling 1992). However, these submer- gence tolerant landraces produce less than 2 t of grain ha −1, paling in comparison to the 6 – 8 - to fg r a i nh a−1 yields of ad</t>
  </si>
  <si>
    <t>Apply only when varietal susceptibility is known; sensitive varieties may die within 7 days, whereas SUB1 genotypes can tolerate 7–15 days.</t>
  </si>
  <si>
    <t>RICE_SUBMERGENCE_SENSITIVE7D</t>
  </si>
  <si>
    <t>Las variedades sensibles populares suelen morir a los 7 días de inundación completa. En experimentos con plántulas de 14 días sumergidas durante 16 días, la viabilidad de las variedades no tolerantes fue de solo el 10%, mientras que las que poseían el gen SUB1 tuvieron una supervivencia del 98%
Revisión de fase: La revisión incluye plántulas y experimentos en etapa vegetativa. BBCH_10_19 corresponde a VEG según la tabla específica de arroz de Hoja1. Fuente: Bailey-Serres et al. 2010, PDF pp. 4–5, 9–10.</t>
  </si>
  <si>
    <t>Seedlings y vegetative stage → EST – Establecimiento + VEG – Crecimiento vegetativo</t>
  </si>
  <si>
    <t>BBCH_20_29</t>
  </si>
  <si>
    <t>Tillering</t>
  </si>
  <si>
    <t>Etapa vegetativa: La inundación completa en estas etapas causa un descenso dramático en el rendimiento de grano. Se produce una disminución considerable en el número de panículas y un retraso significativo en la floración y madurez de la planta
Revisión de fase: La exposición vegetativa es compatible con macollamiento, sin que el paper precise BBCH_20_29. Fuente: Bailey-Serres et al. 2010, PDF pp. 4–5, 9–10.</t>
  </si>
  <si>
    <t>Vegetative stage; también seedling stage → EST – Establecimiento + VEG – Crecimiento vegetativo</t>
  </si>
  <si>
    <t>BBCH_30_39</t>
  </si>
  <si>
    <t>Stem elongation and panicle initiation</t>
  </si>
  <si>
    <t>Daily mean temperature &gt;= 33.0 °C for 1.0 consecutive day</t>
  </si>
  <si>
    <t>Regional indicator</t>
  </si>
  <si>
    <t>Heat-risk indicator during panicle initiation; the rule does not isolate a universal biological effect size.</t>
  </si>
  <si>
    <t>Not determined</t>
  </si>
  <si>
    <t>Sun et al. 2025</t>
  </si>
  <si>
    <t>Following this concept, heat stress (H) sever- itySH,g,t at a given growth stage (g) in a given year (t) that meets the condition can be computed by the cumulative de- viation of mean daily temperature ( T ) above its threshold (Tbase) for all the days ( i) within this stage. We used 33 °C as the base temperature (Table 1) in Eq. (1). SH,g,t= ∑n i=1|Ti−Tbase| (Ti≥Tbase) (1) Similarly, chilling stress severity SC,g,t can be computed by the cumulative deviation of daily mean temperature ( T ) below its threshold ( Tb</t>
  </si>
  <si>
    <t>Duration was relaxed relative to the original standard; not a global threshold.</t>
  </si>
  <si>
    <t>RICE_HEAT_MEAN_33</t>
  </si>
  <si>
    <t>BBCH 30–39 – Heat 33 °C
Fase real de Sun que la sustenta: #1 Jointing–booting
Coincide con la parte inicial de #1. Pero 33 °C no es exclusivo de esta fase.
Jointing–booting (#1) → entra en la parte 40–49.
Heading–flowering (#2) → entra en la parte 51–59.
Revisión de fase: Jointing–booting comprende elongación y embuchamiento: VEG + REP. El indicador de calor también se usa en #2 y #3; no es exclusivo de #1. Fuente: Sun et al. 2025, PDF pp. 4–5, sección 2.3.1 y tabla 1.</t>
  </si>
  <si>
    <t>Jointing–booting (#1); también heading–flowering (#2) y grain filling (#3) → VEG – Crecimiento vegetativo + REP – Desarrollo reproductivo + FLO – Floración + FIL – Llenado de grano/semilla</t>
  </si>
  <si>
    <t>Etapa vegetativa: La inundación completa en estas etapas causa un descenso dramático en el rendimiento de grano. Se produce una disminución considerable en el número de panículas y un retraso significativo en la floración y madurez de la planta
Revisión de fase: La fuente describe exposición vegetativa. Dentro de BBCH_30_39 se conserva solo el solapamiento VEG; no se confirma específicamente inicio de panícula (REP). Fuente: Bailey-Serres et al. 2010, PDF pp. 9–10.</t>
  </si>
  <si>
    <t>BBCH_40_59</t>
  </si>
  <si>
    <t>Booting and panicle emergence</t>
  </si>
  <si>
    <t>Relative soil moisture &lt;= 75.0 % for 10.0 consecutive days</t>
  </si>
  <si>
    <t>Sustained soil-moisture deficit can constrain reproductive development and seasonal rice performance.</t>
  </si>
  <si>
    <t>R. Sun et al.: Spatiotemporal variation of growth–stage speciﬁc concurrent climate extremes 1975 Table 1. The thresholds of each individual extreme event. Rice type Growth stage Climate Indicator &amp; threshold: daily mean temperature ( T / °C), extremes daily total precipitation (PRE / mm), relative soil moisture (SM / %) Single–rice Jointing–booting (#1) Heat T≥ 33 °C ≥ 1 successive day Heading–ﬂowering (#2) Drought SM ≤ 75 % ≥ 10 successive days Grain ﬁlling (#3) Late–rice Heading–ﬂowering (#2) Chilling T≤ 20 °C ≥</t>
  </si>
  <si>
    <t>The operational soil-moisture definition must be matched before transfer.</t>
  </si>
  <si>
    <t>RICE_DROUGHT_SM75</t>
  </si>
  <si>
    <t>BBCH 40–59 – Drought SM ≤75%, 10 d
#1 y/o #2
El bloque BBCH 40–59 atraviesa tanto #1 como #2. Además drought se usa en las tres fases de single-rice.
Jointing–booting (#1) → entra en la parte 40–49.
Heading–flowering (#2) → entra en la parte 51–59.
Revisión de fase: El indicador de sequía se aplica a las tres ventanas; embuchamiento y emergencia de panícula quedan incluidos en REP. Fuente: Sun et al. 2025, PDF pp. 4–5, sección 2.3.1 y tabla 1.</t>
  </si>
  <si>
    <t>Jointing–booting (#1), heading–flowering (#2), grain filling (#3) → VEG – Crecimiento vegetativo + REP – Desarrollo reproductivo + FLO – Floración + FIL – Llenado de grano/semilla</t>
  </si>
  <si>
    <t>REP – Desarrollo reproductivo</t>
  </si>
  <si>
    <t>Cold</t>
  </si>
  <si>
    <t>Daily mean temperature &lt;= 20.0 °C for 1.0 consecutive day</t>
  </si>
  <si>
    <t>Cold exposure around booting or flowering can impair reproductive development and seed set.</t>
  </si>
  <si>
    <t>Sun et al.: Spatiotemporal variation of growth–stage speciﬁc concurrent climate extremes 1973 cally, the study addresses the following questions: (1) How did the concurrent heat–drought and chilling–rain events change temporally and spatially in southern China’s rice sys- tems during 1981–2018? (2) To what extent are changes in compound severity driven by changes in individual climate factors? (3) What are the impacts of these concurrent events on rice yield? (4) How do the answers to the above question differ amon</t>
  </si>
  <si>
    <t>Relaxed duration and regional scope; not globally validated.</t>
  </si>
  <si>
    <t>RICE_COLD_MEAN20</t>
  </si>
  <si>
    <t>BBCH 40–59 – Cold ≤20 °C
#2 Heading–flowering
No corresponde a booting 40–49; corresponde a la parte heading del bloque
Jointing–booting (#1) → entra en la parte 40–49.
Heading–flowering (#2) → entra en la parte 51–59.
Revisión de fase: Heading corresponde a REP y flowering a FLO. El solapamiento con BBCH_40_59 es la emergencia de panícula, no todo el embuchamiento. Fuente: Sun et al. 2025, PDF pp. 4–5, tabla 1.</t>
  </si>
  <si>
    <t>Heading–flowering (#2) → REP – Desarrollo reproductivo + FLO – Floración</t>
  </si>
  <si>
    <t>Heavy rainfall</t>
  </si>
  <si>
    <t>Daily total precipitation &gt;= 25.0 mm/día for 1.0 consecutive day</t>
  </si>
  <si>
    <t>Heavy rainfall can disrupt panicle emergence or flowering and, during filling, reduce radiation and increase lodging or disease pressure.</t>
  </si>
  <si>
    <t>Previous studies have identiﬁed increasing trends in compound agroclimatic extremes, mostly in maize and wheat. Globally, analyses using diverse metrics, including growing–season precipitation–temperature anomalies (He et al., 2022), growing–season standardized anomalies of soil moisture and killing–degree–days (Lesk and Anderson, 2021), and Standardized Temperature Index (STI) with mul- tiple drought indicators (i.e., scPDSI, SPI, and SPEI) (Feng et al., 2021), have consistently revealed intensiﬁed hot–dry extreme</t>
  </si>
  <si>
    <t>Based on a local Chengdu standard; rainfall is an exposure indicator, not a universal damage threshold.</t>
  </si>
  <si>
    <t>RICE_RAIN25</t>
  </si>
  <si>
    <t>BBCH 40–59 – Rain ≥25 mm
#2 Heading–flowering
Igual: es heading, no booting.
Jointing–booting (#1) → entra en la parte 40–49.
Heading–flowering (#2) → entra en la parte 51–59.
Revisión de fase: La lluvia en #2 incluye REP por heading y FLO por flowering; compatible con la parte heading de BBCH_40_59. Fuente: Sun et al. 2025, PDF pp. 4–5, tabla 1.</t>
  </si>
  <si>
    <t>Embuchamiento y emergencia de la panícula.
Superar el umbral de una semana de sumersión afecta directamente la formación del grano.
Revisión de fase: Aclaración al comentario previo: la reducción posterior de componentes reproductivos no prueba que la inundación se aplicara en embuchamiento. La mención general antes de floración no confirma el umbral de 7 días para BBCH_40_59. Correspondencia REP no demostrada. Fuente: Bailey-Serres et al. 2010, PDF pp. 4–5, 9–10.</t>
  </si>
  <si>
    <t>Seedling / vegetative stage; no ventana específica de booting–heading → EST – Establecimiento + VEG – Crecimiento vegetativo</t>
  </si>
  <si>
    <t>BBCH_60_69</t>
  </si>
  <si>
    <t>Flowering / anthesis</t>
  </si>
  <si>
    <t>BBCH 60–69 – Cold ≤20 °C
#2 Heading–flowering
BBCH 60–69 = flowering/anthesis.
Jointing–booting (#1) → entra en la parte 40–49.
Heading–flowering (#2) → entra en la parte 51–59.
Revisión de fase: BBCH_60_69 queda incluido en la parte flowering (FLO). Fuente: Sun et al. 2025, PDF pp. 4–5, tabla 1.</t>
  </si>
  <si>
    <t>FLO – Floración</t>
  </si>
  <si>
    <t>BBCH 60–69 – Rain ≥25 mm
#2 Heading–flowering
BBCH 60–69 = flowering/anthesis.
Jointing–booting (#1) → entra en la parte 40–49.
Heading–flowering (#2) → entra en la parte 51–59.
Revisión de fase: BBCH_60_69 queda incluido en la parte flowering (FLO). Fuente: Sun et al. 2025, PDF pp. 4–5, tabla 1.</t>
  </si>
  <si>
    <t>Daytime temperature &gt; 37.2 °C</t>
  </si>
  <si>
    <t>SE 0.2 °C; significant seed-set reduction; exposure durations differ among experiments.</t>
  </si>
  <si>
    <t>RICE_HEAT_DAY37_2</t>
  </si>
  <si>
    <t>El estudio se centra en la etapa de floración y antesis (flowering stage), que es el periodo más sensible al calor.
Es un umbral modelado mediante el ajuste de una curva de modelo de Boltzmann no lineal a todos los valores medidos en la literatura analizada.
Valor para el día
Si se supera esa temperatura hay daños
Revisión de fase: El momento fenológico del umbral es floración (FLO), aunque se mida el cuajado de grano. Fuente: Liu et al. 2023, PDF pp. 1–3, figura 1.</t>
  </si>
  <si>
    <t>Flowering / anthesis → FLO – Floración</t>
  </si>
  <si>
    <t>Nighttime temperature &gt; 31.2 °C for 7.0 more than one week</t>
  </si>
  <si>
    <t>Modeled threshold — provisional duration</t>
  </si>
  <si>
    <t>Night heat during flowering is associated with significantly reduced seed set.</t>
  </si>
  <si>
    <t>having a lower threshold of 36.9 /C14C (SE 2.2 /C14C). Several temperature-controlled trials have shown that rice spikelet fertility was reduced by &gt;50% when HT (&gt;37 /C14C) lasted for less than 1 week at the middle stage of heading ( Matsui et al., 2001 , Matsui and Omasa, 2002 ; Jagadish et al., 2007 ; Chen et al., 2020). The SE is higher in maize than in rice, perhaps because maize is grown at a wider range of altitudes and latitudes, ranging from ca. 60 /C14Nt o4 0 /C14S, including both cool and hot regions ( Sh</t>
  </si>
  <si>
    <t>SE 0.2 °C; the reported duration is not a maximum tolerable duration.</t>
  </si>
  <si>
    <t>RICE_HEAT_NIGHT31_2</t>
  </si>
  <si>
    <t>El estudio se centra en la etapa de floración y antesis (flowering stage), que es el periodo más sensible al calor.
Es un umbral modelado mediante el ajuste de una curva de modelo de Boltzmann no lineal a todos los valores medidos en la literatura analizada.
Valor para la noche
Revisión de fase: El umbral nocturno se refiere a floración (FLO). Fuente: Liu et al. 2023, PDF pp. 2–3, figura 1.</t>
  </si>
  <si>
    <t>Cold during anthesis</t>
  </si>
  <si>
    <t>Mean chamber temperature during anthesis &lt;= 17 °C for 5 consecutive flowering days</t>
  </si>
  <si>
    <t>Reduced pollen germination and spikelet fertility, especially in sensitive cultivars.</t>
  </si>
  <si>
    <t>The source reports cultivar-dependent reductions in pollen germination and spikelet fertility.</t>
  </si>
  <si>
    <t>Zeng et al. 2017</t>
  </si>
  <si>
    <t>Moreover, under LT stress, pollen fertility and diameter signiﬁcantly decreased in cold-sensitive cultivars compared with those under AT, but no diﬀerences in cold-tolerant cultivars were observed ( P &gt; 0.05). Pollen fertility and diameter were both positively related to the number of germinated pollen grains ( r= 0.77 and r= 0.79, respectively; n= 15). Spikelet Flowering at Anthesis The time of day of spikelets undergoing anthesis for 5 days under AT showed similar trends among cultivars, and ﬂowering peaked on th</t>
  </si>
  <si>
    <t>17 °C was the treatment mean (20/14 °C maximum/minimum), not a universal threshold; response depended on cultivar.</t>
  </si>
  <si>
    <t>RICE_COLD_ANTHESIS17_5D</t>
  </si>
  <si>
    <t>"El umbral de temperatura de las plantas de arroz durante la etapa de crecimiento reproductivo... se describe a menudo como 17 °C"
La fuente especifica que ese "umbral" de 17 °C se aplicó en la cámara de crecimiento como una temperatura media diaria, la cual fluctuaba entre una máxima de 20 °C y una mínima de 14 °C
. Esto es importante porque el daño puede estar más asociado a los picos de frío (los 14 °C nocturnos) que a la media de 17 °
Revisión de fase: La fase del ensayo es antesis, no una etapa reproductiva indiferenciada. Fuente: Zeng et al. 2017, PDF pp. 1–3.</t>
  </si>
  <si>
    <t>Anthesis → FLO – Floración</t>
  </si>
  <si>
    <t>Drought during flowering</t>
  </si>
  <si>
    <t>Soil water potential at 15 cm depth &lt;= -30 kPa; during flowering; exact exposure duration was not reported</t>
  </si>
  <si>
    <t>Damaging field treatment</t>
  </si>
  <si>
    <t>Fewer spikelets and filled grains, resulting in lower yield.</t>
  </si>
  <si>
    <t>Yield −23.2% to −24.0%; spikelets −18% to −21%; filled grains −19%.</t>
  </si>
  <si>
    <t>Yang et al. 2019</t>
  </si>
  <si>
    <t>Two water management treatments were compared in a split-plot with four replicates with a plot size of 3 m × 6 m in 2013 and 2014. The main plots were two water treatments, including CK and DS at the flowering stage. The sub-plots were two rice cultivars, “super” hybrid rice of YLY6 and drought tol- erance rice of HY113. YLY6 is a two-line hybrid rice variety with characteristics of high yield and high quality and higher drought tolerance and bred by Lixiahe Regional Research of Agricultural Science (Jiangsu provin</t>
  </si>
  <si>
    <t>The treatment was maintained at −30 ±5 kPa; it does not estimate the first damaging point or maximum tolerable duration.</t>
  </si>
  <si>
    <t>RICE_DROUGHT_FLOWERING_SWP30</t>
  </si>
  <si>
    <t>La fuente especifica que el tratamiento de sequía se impuso dejando de regar en la floración y monitoreando la humedad con tensiómetros para mantener el potencial de agua del suelo en un nivel de -30 ± 5 kPa a una profundidad de 15 cm
. El estudio utiliza este valor como un nivel de estrés significativo para evaluar las respuestas fisiológicas
Revisión de fase: La sequía se aplica durante floración; corresponde a FLO. Fuente: Yang et al. 2019, PDF pp. 1–2, métodos.</t>
  </si>
  <si>
    <t>Flowering stage → FLO – Floración</t>
  </si>
  <si>
    <t>BBCH_70_79</t>
  </si>
  <si>
    <t>Grain development and filling</t>
  </si>
  <si>
    <t>Daily mean temperature &lt;= 17.0 °C for 1.0 consecutive day</t>
  </si>
  <si>
    <t>Cold exposure during grain filling can slow development and impair grain formation.</t>
  </si>
  <si>
    <t>Among the multiple potential impacts, agricultural production has re- ceived speciﬁc attention. The regional threats posed by these extreme events could further lead to global food security is- sues and the need to develop food system resilience (Chenu et al., 2017; Lobell and Gourdji, 2012; Trnka et al., 2014). Previous studies have identiﬁed increasing trends in compound agroclimatic extremes, mostly in maize and wheat. Globally, analyses using diverse metrics, including growing–season precipitation–temperature a</t>
  </si>
  <si>
    <t>RICE_COLD_MEAN17</t>
  </si>
  <si>
    <t>BBCH 70–79 – Cold ≤17 °C
#3 Grain filling
BBCH 70–79 queda dentro del grain filling de Sun.
Jointing–booting (#1) → entra en la parte 40–49.
Heading–flowering (#2) → entra en la parte 51–59.
Revisión de fase: La ventana #3 incluye llenado (FIL) y llega hasta madurez; BBCH_70_79 está incluido. Fuente: Sun et al. 2025, PDF pp. 4–5, sección 2.3.1 y tabla 1.</t>
  </si>
  <si>
    <t>Grain filling (#3), desde día 11 después de heading hasta madurez → FIL – Llenado de grano/semilla + MAT – Maduración</t>
  </si>
  <si>
    <t>BBCH 70–79 – Rain ≥25 mm
#3 Grain filling
BBCH 70–79 queda dentro del grain filling de Sun.
Jointing–booting (#1) → entra en la parte 40–49.
Heading–flowering (#2) → entra en la parte 51–59.
Revisión de fase: La ventana #3 incluye llenado (FIL) y llega hasta madurez; BBCH_70_79 está incluido. Fuente: Sun et al. 2025, PDF pp. 4–5, sección 2.3.1 y tabla 1.</t>
  </si>
  <si>
    <t>BBCH_80_99</t>
  </si>
  <si>
    <t>Ripening</t>
  </si>
  <si>
    <t>Heat during ripening</t>
  </si>
  <si>
    <t>Daily mean temperature during grain filling and ripening &gt; 28 °C; during the grain-filling/ripening period; critical duration not isolated</t>
  </si>
  <si>
    <t>Lower grain weight and milling quality, with increased chalkiness.</t>
  </si>
  <si>
    <t>1,000-grain weight −1.6 g; head-rice recovery −6.7%; chalkiness +3.3%.</t>
  </si>
  <si>
    <t>Mu et al. 2025</t>
  </si>
  <si>
    <t>Typically, a daily average temperature above 30 °C or a daily maximum temperature above 35 °C during the heading and ﬂowering stage is considered high temperature, whereas temperatures below these thresholds are regarded as normal ( Liu et al., 2019b ). During the grain- ﬁlling stage, a daily average temperature above 28 °C is classi ﬁed as high temperature, while a range of 26 °C –28 °C is considered normal temperature. Previous studies have shown that heat-forced ripening signiﬁcantly increased chalkiness and red</t>
  </si>
  <si>
    <t>The paper classifies &gt;28 °C as heat during grain filling but does not estimate a duration-specific breakpoint.</t>
  </si>
  <si>
    <t>RICE_RIPENING_HEAT_MEAN28</t>
  </si>
  <si>
    <t>La fuente determina que una temeperatura mayor a 28° en esta fase ya es temperatura alta
Revisión de fase: El paper usa ripening or grain-filling para una ventana amplia de 30–40 días. El valor &gt;28 °C se enuncia para grain filling. Se admite solapamiento terminológico con MAT por ripening, pero no un umbral independiente para todo BBCH_80_99. Fuente: Mu et al. 2025, PDF pp. 1–2, introducción.</t>
  </si>
  <si>
    <t>Ripening or grain-filling stage → FIL – Llenado de grano/semilla + MAT – Maduración</t>
  </si>
  <si>
    <t>VE_VC</t>
  </si>
  <si>
    <t>Emergence and cotyledons</t>
  </si>
  <si>
    <t>Daily exposure above 30 °C &gt; 30.0 °C for 1.0 day</t>
  </si>
  <si>
    <t>Seasonal observational association</t>
  </si>
  <si>
    <t>Daily heat above 30 °C is associated with yield loss, particularly in rainfed US systems.</t>
  </si>
  <si>
    <t>Up to 6% yield loss per additional day above 30 °C</t>
  </si>
  <si>
    <t>Schauberger et al. 2017</t>
  </si>
  <si>
    <t>T o assess future threats, the majority of studies used process-based crop models, but their ability to represent effects of high temperature has been questioned. Here we show that an ensemble of nine crop models reproduces the observed average temperature responses of US maize, soybean and wheat yields. Each day 430 /C176C diminishes maize and soybean yields by up to 6% under rainfed conditions. Declines observed in irrigated areas, or simulated assuming full irrigation, are weak. This supports the hypothesis that</t>
  </si>
  <si>
    <t>Seasonal US association, not a phase-specific universal threshold.</t>
  </si>
  <si>
    <t>SOY_SEASONAL_HEAT30</t>
  </si>
  <si>
    <t>Cada día adicional con temperaturas &gt;30 °C puede reducir el rendimiento de soya hasta 6% bajo secano. El efecto se calcula sobre la temporada de crecimiento, no para una fase fenológica particular.
Each day &gt;30 °C diminishes maize and soybean yields by up to 6% under rainfed conditions.</t>
  </si>
  <si>
    <t>Anthesis y grain filling predominantes; análisis de temporada → FLO – Floración + FIL – Llenado de grano/semilla</t>
  </si>
  <si>
    <t>Cardinal temperature</t>
  </si>
  <si>
    <t>Maximum cardinal temperature = 46.92 °C</t>
  </si>
  <si>
    <t>Modeled cardinal parameter</t>
  </si>
  <si>
    <t>Upper modeled cardinal temperature for germination rate; not a death threshold or field-alert trigger.</t>
  </si>
  <si>
    <t>Not applicable</t>
  </si>
  <si>
    <t>Alsajri 2018</t>
  </si>
  <si>
    <t>50% germination seed germination and emergence rates. The three cardinal temperatures for seed germination were 8.56°C (base) 27. 96°C (optimum) and 46.92°C (maximum). The base and optimum temperature for seed emergence were 10.6 and 36.7°C, respectively. During the early-season, 0-21 days, root and shoot growth parameters responded similar temperature responses, the root traits have a lower optimum (29.91°C) than the shoot parameters (36.56°C).</t>
  </si>
  <si>
    <t>Do not use as a mortality threshold or automatic field alert.</t>
  </si>
  <si>
    <t>SOY_GERMINATION_TMAX46_92</t>
  </si>
  <si>
    <t>46.92 °C es la temperatura cardinal máxima estimada para la tasa de germinación de la semilla. No es un umbral de mortalidad ni de pérdida de rendimiento.
Revisión de fase: La temperatura cardinal máxima citada corresponde a germinación. El PDF local contiene la ficha y el resumen de la tesis, no el texto completo; la fase sí está explícita. Fuente: Alsajri 2018, PDF p. 3, resumen del repositorio.</t>
  </si>
  <si>
    <t>Flooding</t>
  </si>
  <si>
    <t>Flood duration &gt; 3 days for 3 critical duration; damage increased beyond 3 days</t>
  </si>
  <si>
    <t>Verified duration-response threshold</t>
  </si>
  <si>
    <t>Pod number, dry matter and yield declined when flooding exceeded the critical duration.</t>
  </si>
  <si>
    <t>After 9 days, relative yield was 7.1% at flowering–pod set, 15.6% at branching and 48.4% at seedling stage.</t>
  </si>
  <si>
    <t>Shen et al. 2023</t>
  </si>
  <si>
    <t>Citation: Shen, T.; Jiao, P .; Yuan, H.; Su, H. Effects of Flooding Duration and Growing Stage on Soybean Growth Based on a Multi-Year Experiment. Sustainability 2023, 15, 738. https://doi.org/10.3390/ su15010738 Academic Editors: Xinguo Zhou, Hongguang Liu and Dongwei Li Received: 20 November 2022 Revised: 24 December 2022 Accepted: 28 December 2022 Published: 31 December 2022 Copyright: © 2022 by the authors. Licensee MDPI, Basel, Switzerland.</t>
  </si>
  <si>
    <t>Responses varied by year; some short exposures partly offset drought or heat. Hydrologic conditions require local validation.</t>
  </si>
  <si>
    <t>SOY_FLOOD_DURATION3</t>
  </si>
  <si>
    <t>El paper evalúa inundación superficial de 10 cm durante seedling stage y establece 3 días como duración crítica para número de vainas, rendimiento y materia seca; al superar esta duración los efectos negativos aumentan. Seedling stage se homologa como EST – Establecimiento, por lo que la referencia sí corresponde a VE_VC.</t>
  </si>
  <si>
    <t>V1_VN</t>
  </si>
  <si>
    <t>Vegetative node development</t>
  </si>
  <si>
    <t>El paper establece que cada día &gt;30 °C puede reducir hasta 6% el rendimiento de la soya bajo secano, pero el efecto se estima para la temporada de crecimiento y las temperaturas extremas ocurrieron principalmente durante antesis y llenado de grano. No respalda este umbral para emergencia y cotiledones. Buscar una fuente específica para esta fase.</t>
  </si>
  <si>
    <t>FLO – Floración + FIL – Llenado de grano/semilla</t>
  </si>
  <si>
    <t>El paper evalúa inundación superficial de 10 cm durante branch stage y establece 3 días como duración crítica para número de vainas, rendimiento y materia seca; al superar esta duración los efectos negativos aumentan. Branch stage se homologa como VEG – Crecimiento vegetativo, por lo que la referencia sí corresponde a V1_VN.</t>
  </si>
  <si>
    <t>R1_R2</t>
  </si>
  <si>
    <t>Flowering</t>
  </si>
  <si>
    <t>El paper establece una respuesta negativa del rendimiento por cada día &gt;30 °C durante la temporada y señala que las temperaturas extremas ocurrieron principalmente en fases donde tiene lugar la antesis. La fase reportada es compatible por homologación con R1–R2 (floración), aunque el umbral no fue calculado exclusivamente para esta fase.</t>
  </si>
  <si>
    <t>Waterlogging beginning at R1</t>
  </si>
  <si>
    <t>Water depth above the substrate &gt;= 3 cm for 16 consecutive days beginning at R1</t>
  </si>
  <si>
    <t>Soil oxygen depletion reduced photosynthesis, pod growth and biomass.</t>
  </si>
  <si>
    <t>Soil oxygen reached zero after about 5 days; photosynthesis −42%; pod dry weight −81% after 16 days.</t>
  </si>
  <si>
    <t>Adegoye et al. 2023</t>
  </si>
  <si>
    <t>However, recent research lacks studies exploring the quantitative relationship between soybean reproductive growth and development in response to waterlogging and recovery. Hence, this experiment subjected soybean plants to 16 days of waterlogging and recovery at the R1 growth stage. This study aimed to (1) quantify the response of soybean growth and development to waterlogging stress at the reproductive stage, (2) monitor the recovery process from stress-induced damages or varia- tions in soybean plants based on r</t>
  </si>
  <si>
    <t>Only one long treatment was used, so the minimum damaging duration cannot be identified.</t>
  </si>
  <si>
    <t>SOY_WATERLOG_R1_3CM_16D</t>
  </si>
  <si>
    <t>El paper evalúa anegamiento durante la fase R1 (floración inicial), manteniendo el nivel de agua a 3 cm sobre el sustrato durante 16 días consecutivos. Estos valores corresponden a las condiciones del tratamiento experimental y no a umbrales mínimos de daño; por tanto, no debe interpretarse que ≥3 cm o 16 días sean puntos críticos universales. La fase sí corresponde a FLO – Floración, por lo que la referencia es válida para R1_R2.
To simulate waterlogging treatment, the soil water level was held at 3 cm above the substrate</t>
  </si>
  <si>
    <t>FLO – Floración.</t>
  </si>
  <si>
    <t>El paper evalúa inundación superficial de 10 cm durante flowering-podding stage y establece 3 días como duración crítica para número de vainas, rendimiento y materia seca. Esta etapa fue además la más sensible para número de vainas y rendimiento. Flowering-podding stage se homologa como FLO – Floración + REP – Desarrollo reproductivo, por lo que incluye R1_R2.</t>
  </si>
  <si>
    <t>Flood duration &gt; 6 days for 6 critical duration for 100-grain weight</t>
  </si>
  <si>
    <t>Reduced 100-grain weight, with greatest sensitivity during flowering–pod set.</t>
  </si>
  <si>
    <t>After 9 days, 100-grain weight during flowering–pod set was 37.8% of the control.</t>
  </si>
  <si>
    <t>The effect depended on year and stage; a clear reduction was generally observed after 9 days.</t>
  </si>
  <si>
    <t>SOY_FLOOD_DURATION6_GRAIN</t>
  </si>
  <si>
    <t>El paper evalúa inundación superficial de 10 cm y establece 6 días como duración crítica para el peso de 100 granos. Reporta una reducción significativa al superar 6 días durante flowering-podding stage. Esta fase se homologa como FLO – Floración + REP – Desarrollo reproductivo, por lo que incluye R1_R2.</t>
  </si>
  <si>
    <t>FLO + REP</t>
  </si>
  <si>
    <t>Early pod formation</t>
  </si>
  <si>
    <t>El paper menciona antesis y llenado de grano como las fases predominantes de exposición, pero no identifica formación inicial de vainas como fase asociada al umbral. Buscar una fuente específica para R3.</t>
  </si>
  <si>
    <t>El paper evalúa inundación superficial de 10 cm durante flowering-podding stage y establece 3 días como duración crítica para número de vainas, rendimiento y materia seca. Flowering-podding stage incluye el desarrollo de vainas y se homologa como FLO – Floración + REP – Desarrollo reproductivo, por lo que la referencia corresponde a R3.</t>
  </si>
  <si>
    <t>El paper establece 6 días como duración crítica de inundación superficial de 10 cm para el peso de 100 granos y reporta afectación al superar esta duración durante flowering-podding stage. Esta fase se homologa como FLO – Floración + REP – Desarrollo reproductivo, por lo que corresponde a R3.</t>
  </si>
  <si>
    <t>R4</t>
  </si>
  <si>
    <t>Full pod</t>
  </si>
  <si>
    <t>El paper no relaciona específicamente el umbral &gt;30 °C con desarrollo o llenado completo de vainas. Las fases mencionadas son antesis y llenado de grano. Buscar una fuente específica para R4.</t>
  </si>
  <si>
    <t>El paper evalúa inundación superficial de 10 cm durante flowering-podding stage y establece 3 días como duración crítica para número de vainas, rendimiento y materia seca. Esta fase se homologa como FLO – Floración + REP – Desarrollo reproductivo, por lo que puede aplicarse a R4 dentro del desarrollo reproductivo.</t>
  </si>
  <si>
    <t>El paper establece 6 días como duración crítica de inundación superficial de 10 cm para el peso de 100 granos y reporta el efecto durante flowering-podding stage. Esta fase se homologa como FLO – Floración + REP – Desarrollo reproductivo, por lo que puede aplicarse a R4.</t>
  </si>
  <si>
    <t>R5</t>
  </si>
  <si>
    <t>Seed filling</t>
  </si>
  <si>
    <t>El paper señala explícitamente grain filling entre las fases donde ocurrieron principalmente las temperaturas extremas. Es compatible por homologación con R5 – seed filling, aunque el efecto de hasta 6% por día &gt;30 °C fue estimado para la temporada y no exclusivamente para R5.</t>
  </si>
  <si>
    <t>High nighttime temperature during seed filling</t>
  </si>
  <si>
    <t>Night temperature during seed filling &gt;= 28 °C; 12 hours per night during stages R5–R7</t>
  </si>
  <si>
    <t>Damaging two-year experimental treatment</t>
  </si>
  <si>
    <t>Reduced yield and altered non-structural carbohydrates during seed filling.</t>
  </si>
  <si>
    <t>The source reports significant yield and seed-composition responses that varied among three cultivars.</t>
  </si>
  <si>
    <t>Yang et al. 2023</t>
  </si>
  <si>
    <t>ther plants under heat stress ( Kumar et al., 2015 ; Kumar et al., 2016 ; Kumar et al., 2020 ; Tiwari et al., 2021 ). The aims of the study were (i) to evaluate the effect of high night temperature during the seed ﬁlling stage on the yield and seed compositions, (ii) to discover the d ynamic changes of photosynthetic physiological characteristics, dry matter accumulation and NSC linked to stress tolerance triggered by high night temperature, and (iii) to analyze the molecular basis of changes in the leaves, speci ﬁ</t>
  </si>
  <si>
    <t>28 °C was a treatment compared with 18 °C, not an estimated breakpoint; response varied by cultivar.</t>
  </si>
  <si>
    <t>SOY_HNT_FILL28_R5_R7</t>
  </si>
  <si>
    <t>El paper compara tratamientos nocturnos de 18 °C y 28 °C durante 12 horas por noche desde R5 hasta R7 y encuentra reducciones significativas del rendimiento bajo 28 °C. El valor de 28 °C corresponde al tratamiento experimental de alta temperatura nocturna, no a un umbral crítico calculado. El tratamiento comienza explícitamente en R5 y el paper denomina R5–R7 como el periodo de llenado de semilla, por lo que la referencia sí corresponde a esta fase.</t>
  </si>
  <si>
    <t>El paper establece 6 días como duración crítica de inundación superficial de 10 cm para el peso de 100 granos, pero el efecto asociado a la etapa se reporta durante flowering-podding stage, homologada como FLO – Floración + REP – Desarrollo reproductivo. R5 corresponde a FIL – Llenado de grano/semilla, por lo que la fase no coincide. Buscar una fuente específica para FIL.</t>
  </si>
  <si>
    <t>R6_R7</t>
  </si>
  <si>
    <t>Full seed to beginning maturity</t>
  </si>
  <si>
    <t>El paper respalda la parte correspondiente a grain filling, pero no menciona beginning maturity. Como R6–R7 combina llenado final de semilla y comienzo de maduración, la referencia no respalda completamente la fase agrupada. Buscar una fuente específica para cubrir R6–R7 o la transición hacia maduración.
Revisión de fase: dentro de R6_R7, la coincidencia es solo FIL; no se acredita MAT por un análisis agregado de temporada.</t>
  </si>
  <si>
    <t>El paper aplica 28 °C durante 12 horas por noche a lo largo de R5–R7 y reporta una reducción significativa del rendimiento. El valor de 28 °C es una condición experimental y no un umbral crítico. El paper considera R5–R7 como el periodo de llenado de semilla, aunque identifica R7 como physiological maturity; por tanto, la evidencia cubre el llenado hasta la transición a madurez.
Revisión de fase: métodos, PDF p. 3, define R5–R7 y R7 como madurez fisiológica. Se incluye FIL y el inicio de MAT, conforme a la división de R6_R7 en Hoja1; no se extiende a R8.</t>
  </si>
  <si>
    <t>Seed filling (R5–R7), hasta physiological maturity (R7) → FIL – Llenado de grano/semilla + MAT – Maduración</t>
  </si>
  <si>
    <t>R8</t>
  </si>
  <si>
    <t>Full maturity</t>
  </si>
  <si>
    <t>El paper no relaciona el umbral &gt;30 °C con madurez completa. Las exposiciones extremas se asocian principalmente con antesis y llenado de grano. Buscar una fuente específica para R8 – full maturity.</t>
  </si>
  <si>
    <t>Z00_09</t>
  </si>
  <si>
    <t>Treatment temperature = 42.0 °C for 24.0 hours</t>
  </si>
  <si>
    <t>Secondary-source treatment</t>
  </si>
  <si>
    <t>The treatment elicited seedling heat and oxidative-stress responses; it is not an onset threshold.</t>
  </si>
  <si>
    <t>Akter e Islam 2017 (cita Gupta et al. 2013a)</t>
  </si>
  <si>
    <t>Ta bl e 1 Effects of heat stress at different stages of growth and development of wheat Heat treatment Growth stage Major effects References 45°C, 2 h After 7 days of germination Reduced length and dry mass of shoot and root; decreased chlorophyll and membrane stability index Gupta et al. (2013a) 42°C, 24 h Seedling stage Inhibited roots and first leaves development; increased reactive oxygen species (ROS) and lipid peroxidation (LP) products in the coleoptile and developing organ Savicka and Skute (2010) 37/28°C d</t>
  </si>
  <si>
    <t>Primary source still required; experimental treatment, not an alert threshold.</t>
  </si>
  <si>
    <t>WHEAT_SEEDLING_HEAT42</t>
  </si>
  <si>
    <t>El tratamiento de 42 °C/24 h fue en seedling stage, no específicamente en germinación/emergencia.</t>
  </si>
  <si>
    <t>EST – Establishment</t>
  </si>
  <si>
    <t>Z10_29</t>
  </si>
  <si>
    <t>Leaf development and tillering</t>
  </si>
  <si>
    <t>El tratamiento también fue en seedling stage, no en leaf development/tillering.</t>
  </si>
  <si>
    <t>Z30_39</t>
  </si>
  <si>
    <t>Stem elongation</t>
  </si>
  <si>
    <t>Drought during stem elongation</t>
  </si>
  <si>
    <t>Reduction in volumetric soil moisture relative to control &gt;= 45 % de reducción for 14 consecutive days during stem elongation</t>
  </si>
  <si>
    <t>Reduced tillering and altered hormonal response during stem elongation.</t>
  </si>
  <si>
    <t>Tillers per plant decreased 50.0% and 63.6% in two varieties at a 45% VSMC reduction.</t>
  </si>
  <si>
    <t>Vuković et al. 2023</t>
  </si>
  <si>
    <t>Before anthesis, the length of the day was increased to 14 h, and the tempera- tures were maintained at 21–24◦C and night temperatures at 17–20 ◦C with the maximum light intensity of 750 µmol m−2 s−1. During stem elongation and anthesis stages, in two separate experiments, plants were subjected to different intensities of drought by reducing water content by 45% (T1) and 65% (T2) of the volumetric soil moisture content (VSMC) for two weeks. In both treatments, non-lethal, moderate drought stress was produced. In th</t>
  </si>
  <si>
    <t>Expressed as relative VSMC reduction, not an absolute soil-moisture value transferable among soils.</t>
  </si>
  <si>
    <t>WHEAT_STEM_DROUGHT_VSMC45_14D</t>
  </si>
  <si>
    <t>El estudio aplicó dos niveles experimentales de sequía durante la elongación del tallo, reduciendo el contenido volumétrico de agua del suelo en 45% y 65% durante dos semanas. Los autores describen ambos tratamientos como estrés hídrico moderado y no letal. Los valores de 45% y 65% corresponden a intensidades experimentales y no a umbrales críticos calculados. La fase estudiada es stem elongation, homologada como VEG – Crecimiento vegetativo, y coincide con Z30_39, por lo que la referencia sí es válida para esta fase.</t>
  </si>
  <si>
    <t>Z40_49</t>
  </si>
  <si>
    <t>Booting</t>
  </si>
  <si>
    <t>Frost/chilling during booting</t>
  </si>
  <si>
    <t>Chamber temperature &lt;= -2 °C for 24 hours of continuous exposure</t>
  </si>
  <si>
    <t>Inhibited spikelet development and delayed floret growth.</t>
  </si>
  <si>
    <t>Significant changes occurred in enzymes and regulators associated with grain number and weight.</t>
  </si>
  <si>
    <t>Liu et al. 2019</t>
  </si>
  <si>
    <t>In this study, we used two wheat varieties differing in cold sensitivity (sensitive variety Yangmai 18 and tolerant variety Yannong 19) to examine the effect of low temperature on wheat grain number at booting stage. Low temperature stress was simulated in an artiﬁcial climate chamber at 4 ◦C for 60 h in 2016 and at 2, 0, or −2◦C for 24 h in morphological assays, showing that the development of wheat spikelets was inhibited and ﬂoret growth was delayed following low temperature stress. However, an increase in the s</t>
  </si>
  <si>
    <t>−2 °C was a severe treatment; 0 and 2 °C were also tested. Chamber temperature is not equivalent to standard weather-station temperature.</t>
  </si>
  <si>
    <t>WHEAT_BOOT_COLD_MINUS2_24H</t>
  </si>
  <si>
    <t>El estudio evalúa estrés por baja temperatura durante la fase de booting mediante tratamientos de 4 °C durante 60 horas y de 2, 0 y −2 °C durante 24 horas. Estos valores corresponden a condiciones experimentales y no a un umbral crítico calculado. El tratamiento inhibió el desarrollo de las espiguillas, retrasó el crecimiento de las flores y produjo una tendencia descendente en el número de granos por espiga y el peso de 1000 granos. La fase estudiada es booting, homologada como REP – Desarrollo reproductivo, y coincide con Z40_49, por lo que la referencia sí es válida para esta fase.</t>
  </si>
  <si>
    <t>Reproductive heat during booting</t>
  </si>
  <si>
    <t>Day/night temperature during booting &gt;= 35 °C día for 24 one 24-hour exposure under a 35/30 °C regime</t>
  </si>
  <si>
    <t>Reduced seed set and grain number, with a sensitivity peak at GS41–45.</t>
  </si>
  <si>
    <t>Relative seed set fell below 80% in sensitive genotypes after a single exposure.</t>
  </si>
  <si>
    <t>Barber et al. 2017</t>
  </si>
  <si>
    <t>Pots were watered up to twice daily by an automatic drip irrigation system to maintain ﬁeld capac ity. All treatments consisted of transfers to Saxil growth cabin ets, which began between 10:20 and 11:20 h (BST) and remained there for 24 h (16 h day, night time between 22:00 and 06:00 h) before being returned outside to their original randomized block position. Average daily temperature during the treatment peri od was 14.3◦C in 2013/14 and 13.5 ◦C in 2014/15. Two temperature regimes were used in all experiments, d</t>
  </si>
  <si>
    <t>Severe regime relative to 20/15 °C; response depended on genotype and exact stage.</t>
  </si>
  <si>
    <t>WHEAT_BOOT_HEAT35_30_24H</t>
  </si>
  <si>
    <t>El estudio expuso plantas de trigo a 35/30 °C día/noche durante 24 horas y encontró una alta sensibilidad al calor en GS41–45, correspondiente a early booting, con reducción de la fertilidad y del número de granos. Los 35/30 °C son la condición del tratamiento experimental y no un umbral crítico calculado. GS41–45 se homologa como REP (Desarrollo reproductivo), por lo que coincide con la macrofase asignada a Z40_49 y la referencia sí es válida para esta fase.</t>
  </si>
  <si>
    <t>Z50_59</t>
  </si>
  <si>
    <t>Heading</t>
  </si>
  <si>
    <t>Frost after heading</t>
  </si>
  <si>
    <t>Minimum canopy air temperature &lt;= -3.5 °C; nighttime event; critical duration was not quantified</t>
  </si>
  <si>
    <t>Transferred frost-damage threshold</t>
  </si>
  <si>
    <t>Frost can injure reproductive tissues and developing grain after heading.</t>
  </si>
  <si>
    <t>Damage was reported between −3.5 and −4.5 °C; plant temperature may be 1–3 °C below measured air temperature.</t>
  </si>
  <si>
    <t>Frederiks et al. 2015</t>
  </si>
  <si>
    <t>combine to allow rapid radiation of heat to the night sky (Foley, 1945; Hocevar and Martsolf, 1971; Willcocks and Stone, 2000). Meteorologists report ‘ground frosts’ when grass temperatures fall to less than 0°C (Foley, 1945). Post- head-emergence wheat and barley crops can resist damage from mild ground frosts (Single and Marcellos, 1974; Single, 1991). However, as air temperatures within the crop canopy fall below −3.5°C (Woodruff et al., 1997), the actual plant minimum temperature can reach approximately −5°C. A</t>
  </si>
  <si>
    <t>Severity depends on exposure duration, ice nucleation and the difference between canopy, plant and weather-station temperature.</t>
  </si>
  <si>
    <t>WHEAT_FROST_POSTHEADING_CANOPY_MINUS3_5</t>
  </si>
  <si>
    <t>El paper indica que la susceptibilidad aumenta fuertemente después de la emergencia de aristas o espigas, desde aproximadamente GS49, y que el trigo post-head-emergence puede presentar daño cuando la temperatura del aire del dosel alcanza alrededor de −3.5 °C, aumentando rápidamente a temperaturas menores.</t>
  </si>
  <si>
    <t>Z60_69</t>
  </si>
  <si>
    <t>Daytime temperature &gt; 27.3 °C</t>
  </si>
  <si>
    <t>Seed set is significantly reduced above the modeled daytime anthesis threshold.</t>
  </si>
  <si>
    <t>SE 0.5 °C; modeled threshold for significant seed-set reduction.</t>
  </si>
  <si>
    <t>WHEAT_HEAT_DAY27_3</t>
  </si>
  <si>
    <t>La revisión estima un umbral crítico de alta temperatura diurna de 27,3 ± 0,5 °C para el establecimiento de granos en trigo durante anthesis. Los autores señalan además que exposiciones cercanas o superiores a 27 °C durante más de una semana alrededor de 50% de antesis han producido aborto de granos y pérdidas de rendimiento. La fase corresponde a FLO – Floración y coincide con Z60_69, por lo que la referencia sí es válida para esta fase y el valor puede utilizarse como umbral crítico.</t>
  </si>
  <si>
    <t>Nighttime temperature &gt; 19.6 °C for 7.0 more than one week</t>
  </si>
  <si>
    <t>Night heat during anthesis is associated with significantly reduced seed set.</t>
  </si>
  <si>
    <t>60 /C14Nt o4 0 /C14S, including both cool and hot regions ( Shiferaw et al., 2011 ). The high SE may also be due to variability in HT tolerance among varieties and in experimental designs among studies. Interestingly, maize had a lower high nighttime temperature (HNT) threshold during ﬂowering than did rice (27.3 /C14C vs. 31.2 /C14C; Figure 1 B; Supplemental Table 1 ), making maize more sensitive than rice to HNT during ﬂowering. When nighttime temperature exceeds the critical threshold for more than 1 week, seed</t>
  </si>
  <si>
    <t>SE 2.7 °C; the reported duration is not a maximum tolerable duration.</t>
  </si>
  <si>
    <t>WHEAT_HEAT_NIGHT19_6</t>
  </si>
  <si>
    <t>La revisión estima un umbral crítico nocturno de 19,6 ± 2,7 °C para el establecimiento de granos de trigo durante anthesis. Los autores indican que temperaturas nocturnas superiores al umbral mantenidas durante más de una semana pueden reducir el seed set aproximadamente al 60%, aunque aclaran que el umbral nocturno es tentativo debido a la menor disponibilidad de estudios. La fase corresponde a FLO – Floración y coincide con Z60_69, por lo que la referencia es válida para esta fase.</t>
  </si>
  <si>
    <t>Waterlogging</t>
  </si>
  <si>
    <t>Duration of soil waterlogging &gt;= 3 days for 3 consecutive days beginning at Zadoks 65</t>
  </si>
  <si>
    <t>Accelerated senescence and reduced assimilation and yield.</t>
  </si>
  <si>
    <t>Nine days reduced final yield 28%; 6 and 9 days reduced thousand-grain weight 11% and 19% at 28 days after anthesis.</t>
  </si>
  <si>
    <t>Ma et al. 2022</t>
  </si>
  <si>
    <t>Ma et al. Waterlogging Restricts Assimilates Supplies Frontiers in Plant Science | www.frontiersin.org 4 June 2022 | Volume 13 | Article 944308 SOD Activity in Flag Leaves Under Different Waterlogging Durations Increasing waterlogging duration significantly reduced SOD activity in flag leaves of wheat during all the tested developmental stages ( Figure 4). Also, SOD activity under each treatment level gradually decreased with the wheat growth.</t>
  </si>
  <si>
    <t>Three days affected later photosynthesis, but the largest yield damage occurred after 6–9 days; one variety was tested.</t>
  </si>
  <si>
    <t>WHEAT_WATERLOG_Z65_3D</t>
  </si>
  <si>
    <t>El estudio aplicó una lámina de agua de 2 cm sobre el suelo durante 3, 6 y 9 días, iniciando el tratamiento cuando 50% de las plantas alcanzó Z65. Los tiempos corresponden a tratamientos experimentales y no a un umbral crítico calculado. Tres días no redujeron significativamente el rendimiento final, mientras que 6 y 9 días sí redujeron significativamente el número de granos, el peso de 1000 granos y el rendimiento; 9 días redujeron el rendimiento en 28,8%. La fase de inicio es Z65, homologada como FLO – Floración, por lo que coincide con Z60_69 y la referencia sí es válida para esta fase.</t>
  </si>
  <si>
    <t>FLO – Floración, extendiéndose después hacia FIL – Llenado de grano/semilla</t>
  </si>
  <si>
    <t>El paper incluye las fases posteriores a heading dentro de PHEF y describe daño en estructuras florales; señala que la susceptibilidad continúa después de emergencia de la espiga.</t>
  </si>
  <si>
    <t>FLO – Floración dentro del período post-head-emergence</t>
  </si>
  <si>
    <t>Z70_89</t>
  </si>
  <si>
    <t>High nighttime temperature after anthesis</t>
  </si>
  <si>
    <t>Night-temperature anomaly above ambient &gt;= 3.8 °C; every night from 50% anthesis to maturity</t>
  </si>
  <si>
    <t>Shortened grain filling and reduced grain weight, grain number and yield.</t>
  </si>
  <si>
    <t>Grain filling −3.33 days; grain weight −1.25%/°C; grain number −2.36%/°C; yield −3.58%/°C.</t>
  </si>
  <si>
    <t>Hein et al. 2020</t>
  </si>
  <si>
    <t>6789)Scientific Reports | (2020) 10:22213 | https://doi.org/10.1038/s41598-020-79179-0 www.nature.com/scientificreports Improved cyber‑physical system captured post‑flowering high night temperature impact on yield and quality of field grown wheat Nathan T. Hein1, Raju Bheemanahalli1, Dan Wagner2, Amaranatha R. Vennapusa1, Carlos Bustamante1, Troy Ostmeyer1, Meghnath Pokharel1, Anuj Chiluwal1,3, Jianming Fu1, Dhanush S. Srikanthan1, Mitchell L. Neilsen2 &amp; S. V. Krishna Jagadish1* Winter wheat (Triticum aestivum L.)</t>
  </si>
  <si>
    <t>+3.8 °C was an experimental treatment, not an absolute threshold; treated mean temperature was 22.1 °C versus 18.4 °C.</t>
  </si>
  <si>
    <t>WHEAT_HNT_POSTANTHESIS_DELTA3_8</t>
  </si>
  <si>
    <t>El estudio incrementó la temperatura nocturna en +3,8 °C respecto a la condición ambiente desde aproximadamente 50% de antesis hasta la madurez fisiológica y evaluó sus efectos durante el llenado de grano. El tratamiento redujo la duración del llenado en 3,33 días y disminuyó el peso de grano, el número de granos y el rendimiento. Los +3,8 °C corresponden a la intensidad del tratamiento experimental y no a un umbral crítico de daño. El paper se refiere principalmente a FIL – Llenado de grano/semilla, aunque el tratamiento se prolonga hasta MAT – Maduración. La fase coincide con Z70_89, por lo que la referencia sí es válida para esta fila.
El paper dice textualmente que “the system imposed a consistent post-anthesis HNT stress of +3.8 °C until maturity” y que el objetivo era evaluar el efecto de la alta temperatura nocturna “during grain filling”. El tratamiento se aplicó desde aproximadamente 50% de antesis y continuó hasta la madurez fisiológica.</t>
  </si>
  <si>
    <t>FIL – Llenado de grano/semilla, extendiéndose hasta MAT – Maduración</t>
  </si>
  <si>
    <t>El paper dice explícitamente que “Frost damage during grain fill is also difficult to assess” y describe granos descoloridos, arrugados, acuosos o huecos que luego se secan y quedan shrivelled.</t>
  </si>
  <si>
    <t>Z90_99</t>
  </si>
  <si>
    <t>Pre-harvest rainfall</t>
  </si>
  <si>
    <t>Artificial rainfall intensity &gt;= 5 mm/h for 8 continuous hours at 45 days after heading</t>
  </si>
  <si>
    <t>Verified operational threshold</t>
  </si>
  <si>
    <t>Greater risk of pre-harvest sprouting, elevated moisture and deterioration of flour quality.</t>
  </si>
  <si>
    <t>The source identifies 40–45 days after heading and more than 8 hours of rainfall as a critical window.</t>
  </si>
  <si>
    <t>Kang et al. 2024</t>
  </si>
  <si>
    <t>Artificial Rain Treatments To assess the impact of rainfall on the grain quality of wheat, two artificial rain treat- ments were designed: a control group (no treatment) and a wetted group (rain treatment applied 45 days after heading using a sprinkler system, with a rate of 5 mm/hour). The reasons for choosing this treatment condition are as follows: firstly, the rainy season usually occurs in mid-May, which corresponds to the wheat’s physiological maturity; secondly, 45 days after heading is known as the most vul</t>
  </si>
  <si>
    <t>Applied about 10 days before maturity and followed by &gt;90% humidity; effects depend on cultivar dormancy.</t>
  </si>
  <si>
    <t>WHEAT_RIPENING_RAIN5_8H</t>
  </si>
  <si>
    <t>El estudio aplicó lluvia artificial a 5 mm/h durante 8 horas, 45 días después del heading. Los autores seleccionaron este momento porque corresponde a la madurez fisiológica y es considerado especialmente vulnerable para la calidad del grano y la harina. Los valores de 5 mm/h y 8 horas corresponden a la condición experimental y no a un umbral crítico calculado. La fase reportada corresponde a MAT – Maduración y coincide con la macrofase de Z90_99, por lo que la referencia sí es válida para esta fase.</t>
  </si>
  <si>
    <t>Umbral web</t>
  </si>
  <si>
    <t>Página PDF</t>
  </si>
  <si>
    <t>Párrafo localizado</t>
  </si>
  <si>
    <t>Categoría</t>
  </si>
  <si>
    <t>Limitaciones</t>
  </si>
  <si>
    <t>Nighttime temperature &gt; 27.3 °C for 7.0 more than one week</t>
  </si>
  <si>
    <t>Código macro</t>
  </si>
  <si>
    <t>Macrofase estandarizada</t>
  </si>
  <si>
    <t>Incluye expresiones del paper como</t>
  </si>
  <si>
    <t>EST</t>
  </si>
  <si>
    <t>Establishment</t>
  </si>
  <si>
    <t>germination, emergence, seedling stage, cotyledon stage, crop establishment</t>
  </si>
  <si>
    <t>VEG</t>
  </si>
  <si>
    <t>Vegetative growth</t>
  </si>
  <si>
    <t>vegetative stage, branching, node development, tillering, leaf development</t>
  </si>
  <si>
    <t>FLO</t>
  </si>
  <si>
    <t>flowering, bloom, anthesis, pollination, silking</t>
  </si>
  <si>
    <t>REP</t>
  </si>
  <si>
    <t>Reproductive development</t>
  </si>
  <si>
    <t>pod set, pod development, fruit set, grain set, early reproductive stage</t>
  </si>
  <si>
    <t>FIL</t>
  </si>
  <si>
    <t>Grain/seed filling</t>
  </si>
  <si>
    <t>seed filling, grain filling, kernel filling, grain development</t>
  </si>
  <si>
    <t>MAT</t>
  </si>
  <si>
    <t>Maturation</t>
  </si>
  <si>
    <t>maturity, physiological maturity, ripening, senescence</t>
  </si>
  <si>
    <t>Macrofase</t>
  </si>
  <si>
    <t>Maíz</t>
  </si>
  <si>
    <t>Arroz</t>
  </si>
  <si>
    <t>Soya</t>
  </si>
  <si>
    <t>Trigo</t>
  </si>
  <si>
    <r>
      <t>VE</t>
    </r>
    <r>
      <rPr>
        <sz val="11"/>
        <rFont val="Carlito"/>
      </rPr>
      <t xml:space="preserve"> — Germinación y emergencia</t>
    </r>
  </si>
  <si>
    <r>
      <t>BBCH_00_09</t>
    </r>
    <r>
      <rPr>
        <sz val="11"/>
        <rFont val="Carlito"/>
      </rPr>
      <t xml:space="preserve"> — Germinación y emergencia</t>
    </r>
  </si>
  <si>
    <r>
      <t>VE_VC</t>
    </r>
    <r>
      <rPr>
        <sz val="11"/>
        <rFont val="Carlito"/>
      </rPr>
      <t xml:space="preserve"> — Emergencia y cotiledones</t>
    </r>
  </si>
  <si>
    <r>
      <t>Z00_09</t>
    </r>
    <r>
      <rPr>
        <sz val="11"/>
        <rFont val="Carlito"/>
      </rPr>
      <t xml:space="preserve"> — Germinación y emergencia</t>
    </r>
  </si>
  <si>
    <r>
      <t>V1_V6</t>
    </r>
    <r>
      <rPr>
        <sz val="11"/>
        <rFont val="Carlito"/>
      </rPr>
      <t xml:space="preserve"> — Desarrollo vegetativo temprano • </t>
    </r>
    <r>
      <rPr>
        <sz val="10"/>
        <rFont val="Arial Unicode MS"/>
      </rPr>
      <t>V7_VT</t>
    </r>
    <r>
      <rPr>
        <sz val="11"/>
        <rFont val="Carlito"/>
      </rPr>
      <t xml:space="preserve"> — Crecimiento vegetativo tardío y panojamiento/tasseling*</t>
    </r>
  </si>
  <si>
    <r>
      <t>BBCH_10_19</t>
    </r>
    <r>
      <rPr>
        <sz val="11"/>
        <rFont val="Carlito"/>
      </rPr>
      <t xml:space="preserve"> — Desarrollo de hojas • </t>
    </r>
    <r>
      <rPr>
        <sz val="10"/>
        <rFont val="Arial Unicode MS"/>
      </rPr>
      <t>BBCH_20_29</t>
    </r>
    <r>
      <rPr>
        <sz val="11"/>
        <rFont val="Carlito"/>
      </rPr>
      <t xml:space="preserve"> — Macollamiento • parte de </t>
    </r>
    <r>
      <rPr>
        <sz val="10"/>
        <rFont val="Arial Unicode MS"/>
      </rPr>
      <t>BBCH_30_39</t>
    </r>
    <r>
      <rPr>
        <sz val="11"/>
        <rFont val="Carlito"/>
      </rPr>
      <t xml:space="preserve"> — Elongación del tallo*</t>
    </r>
  </si>
  <si>
    <r>
      <t>V1_VN</t>
    </r>
    <r>
      <rPr>
        <sz val="11"/>
        <rFont val="Carlito"/>
      </rPr>
      <t xml:space="preserve"> — Desarrollo de nudos vegetativos</t>
    </r>
  </si>
  <si>
    <r>
      <t>Z10_29</t>
    </r>
    <r>
      <rPr>
        <sz val="11"/>
        <rFont val="Carlito"/>
      </rPr>
      <t xml:space="preserve"> — Desarrollo foliar y macollamiento • </t>
    </r>
    <r>
      <rPr>
        <sz val="10"/>
        <rFont val="Arial Unicode MS"/>
      </rPr>
      <t>Z30_39</t>
    </r>
    <r>
      <rPr>
        <sz val="11"/>
        <rFont val="Carlito"/>
      </rPr>
      <t xml:space="preserve"> — Elongación del tallo</t>
    </r>
  </si>
  <si>
    <r>
      <t xml:space="preserve">parte final de </t>
    </r>
    <r>
      <rPr>
        <sz val="10"/>
        <rFont val="Arial Unicode MS"/>
      </rPr>
      <t>R1</t>
    </r>
    <r>
      <rPr>
        <sz val="11"/>
        <rFont val="Carlito"/>
      </rPr>
      <t xml:space="preserve"> — cuajado inicial*</t>
    </r>
  </si>
  <si>
    <r>
      <t xml:space="preserve">parte de </t>
    </r>
    <r>
      <rPr>
        <sz val="10"/>
        <rFont val="Arial Unicode MS"/>
      </rPr>
      <t>BBCH_30_39</t>
    </r>
    <r>
      <rPr>
        <sz val="11"/>
        <rFont val="Carlito"/>
      </rPr>
      <t xml:space="preserve"> — Inicio de panícula* • </t>
    </r>
    <r>
      <rPr>
        <sz val="10"/>
        <rFont val="Arial Unicode MS"/>
      </rPr>
      <t>BBCH_40_59</t>
    </r>
    <r>
      <rPr>
        <sz val="11"/>
        <rFont val="Carlito"/>
      </rPr>
      <t xml:space="preserve"> — Embuchamiento y emergencia de panícula</t>
    </r>
  </si>
  <si>
    <r>
      <t>R3</t>
    </r>
    <r>
      <rPr>
        <sz val="11"/>
        <rFont val="Carlito"/>
      </rPr>
      <t xml:space="preserve"> — Formación inicial de vainas • </t>
    </r>
    <r>
      <rPr>
        <sz val="10"/>
        <rFont val="Arial Unicode MS"/>
      </rPr>
      <t>R4</t>
    </r>
    <r>
      <rPr>
        <sz val="11"/>
        <rFont val="Carlito"/>
      </rPr>
      <t xml:space="preserve"> — Vaina completa</t>
    </r>
  </si>
  <si>
    <r>
      <t>Z40_49</t>
    </r>
    <r>
      <rPr>
        <sz val="11"/>
        <rFont val="Carlito"/>
      </rPr>
      <t xml:space="preserve"> — Embuchamiento • </t>
    </r>
    <r>
      <rPr>
        <sz val="10"/>
        <rFont val="Arial Unicode MS"/>
      </rPr>
      <t>Z50_59</t>
    </r>
    <r>
      <rPr>
        <sz val="11"/>
        <rFont val="Carlito"/>
      </rPr>
      <t xml:space="preserve"> — Espigamiento</t>
    </r>
  </si>
  <si>
    <r>
      <t>R1</t>
    </r>
    <r>
      <rPr>
        <sz val="11"/>
        <rFont val="Carlito"/>
      </rPr>
      <t xml:space="preserve"> — Emisión de estigmas, polinización*</t>
    </r>
  </si>
  <si>
    <r>
      <t>BBCH_60_69</t>
    </r>
    <r>
      <rPr>
        <sz val="11"/>
        <rFont val="Carlito"/>
      </rPr>
      <t xml:space="preserve"> — Floración / antesis</t>
    </r>
  </si>
  <si>
    <r>
      <t>R1_R2</t>
    </r>
    <r>
      <rPr>
        <sz val="11"/>
        <rFont val="Carlito"/>
      </rPr>
      <t xml:space="preserve"> — Floración</t>
    </r>
  </si>
  <si>
    <r>
      <t>Z60_69</t>
    </r>
    <r>
      <rPr>
        <sz val="11"/>
        <rFont val="Carlito"/>
      </rPr>
      <t xml:space="preserve"> — Floración / antesis</t>
    </r>
  </si>
  <si>
    <r>
      <t>R2</t>
    </r>
    <r>
      <rPr>
        <sz val="11"/>
        <rFont val="Carlito"/>
      </rPr>
      <t xml:space="preserve"> — Blister • </t>
    </r>
    <r>
      <rPr>
        <sz val="10"/>
        <rFont val="Arial Unicode MS"/>
      </rPr>
      <t>R3</t>
    </r>
    <r>
      <rPr>
        <sz val="11"/>
        <rFont val="Carlito"/>
      </rPr>
      <t xml:space="preserve"> — Milk • </t>
    </r>
    <r>
      <rPr>
        <sz val="10"/>
        <rFont val="Arial Unicode MS"/>
      </rPr>
      <t>R4_R5</t>
    </r>
    <r>
      <rPr>
        <sz val="11"/>
        <rFont val="Carlito"/>
      </rPr>
      <t xml:space="preserve"> — Dough–dent</t>
    </r>
  </si>
  <si>
    <r>
      <t>BBCH_70_79</t>
    </r>
    <r>
      <rPr>
        <sz val="11"/>
        <rFont val="Carlito"/>
      </rPr>
      <t xml:space="preserve"> — Desarrollo y llenado de grano</t>
    </r>
  </si>
  <si>
    <r>
      <t>R5</t>
    </r>
    <r>
      <rPr>
        <sz val="11"/>
        <rFont val="Carlito"/>
      </rPr>
      <t xml:space="preserve"> — Llenado de semilla • parte de </t>
    </r>
    <r>
      <rPr>
        <sz val="10"/>
        <rFont val="Arial Unicode MS"/>
      </rPr>
      <t>R6_R7</t>
    </r>
    <r>
      <rPr>
        <sz val="11"/>
        <rFont val="Carlito"/>
      </rPr>
      <t xml:space="preserve"> — Semilla llena*</t>
    </r>
  </si>
  <si>
    <r>
      <t>Z70_89</t>
    </r>
    <r>
      <rPr>
        <sz val="11"/>
        <rFont val="Carlito"/>
      </rPr>
      <t xml:space="preserve"> — Desarrollo y llenado de grano</t>
    </r>
  </si>
  <si>
    <r>
      <t>R6</t>
    </r>
    <r>
      <rPr>
        <sz val="11"/>
        <rFont val="Carlito"/>
      </rPr>
      <t xml:space="preserve"> — Madurez fisiológica</t>
    </r>
  </si>
  <si>
    <r>
      <t>BBCH_80_99</t>
    </r>
    <r>
      <rPr>
        <sz val="11"/>
        <rFont val="Carlito"/>
      </rPr>
      <t xml:space="preserve"> — Maduración</t>
    </r>
  </si>
  <si>
    <r>
      <t xml:space="preserve">parte de </t>
    </r>
    <r>
      <rPr>
        <sz val="10"/>
        <rFont val="Arial Unicode MS"/>
      </rPr>
      <t>R6_R7</t>
    </r>
    <r>
      <rPr>
        <sz val="11"/>
        <rFont val="Carlito"/>
      </rPr>
      <t xml:space="preserve"> — Inicio de maduración* • </t>
    </r>
    <r>
      <rPr>
        <sz val="10"/>
        <rFont val="Arial Unicode MS"/>
      </rPr>
      <t>R8</t>
    </r>
    <r>
      <rPr>
        <sz val="11"/>
        <rFont val="Carlito"/>
      </rPr>
      <t xml:space="preserve"> — Madurez completa</t>
    </r>
  </si>
  <si>
    <r>
      <t>Z90_99</t>
    </r>
    <r>
      <rPr>
        <sz val="11"/>
        <rFont val="Carlito"/>
      </rPr>
      <t xml:space="preserve"> — Maduración</t>
    </r>
  </si>
  <si>
    <t>Cobertura y correspondencia de macrofases</t>
  </si>
  <si>
    <t>Coincidencia = misma macrofase. Se acepta solapamiento parcial y se especifica la parte cubierta. No equivale a validar el umbral ni su calidad de evidencia.</t>
  </si>
  <si>
    <t>Umbral único = Rule ID distinto dentro de cada cultivo y macrofase. Varias filas con el mismo ID cuentan una vez; varios IDs de un paper no son estudios independientes.</t>
  </si>
  <si>
    <t>Los conteos incluyen tratamientos y candidatos presentes en la hoja inicial. Las decisiones finales de aceptación del umbral y coincidencia quedan para revisión humana.</t>
  </si>
  <si>
    <t>Filas iniciales</t>
  </si>
  <si>
    <t>Filas compatibles</t>
  </si>
  <si>
    <t>Umbrales únicos compatibles</t>
  </si>
  <si>
    <t>Sin correspondencia en esta macro</t>
  </si>
  <si>
    <t>Cobertura</t>
  </si>
  <si>
    <t>Filas compatibles (Excel)</t>
  </si>
  <si>
    <t>Filas sin correspondencia</t>
  </si>
  <si>
    <t>Rule ID compatibles (sin duplicar)</t>
  </si>
  <si>
    <t>Sí</t>
  </si>
  <si>
    <t>5</t>
  </si>
  <si>
    <t>Ninguna</t>
  </si>
  <si>
    <t>6, 7</t>
  </si>
  <si>
    <t>MAIZE_EARLYVEG_DROUGHT_SWP051_4D
MAIZE_TASSEL_HEAT38_30_15D</t>
  </si>
  <si>
    <t>8, 9</t>
  </si>
  <si>
    <t>MAIZE_HEAT_DAY37_9
MAIZE_HEAT_NIGHT27_3</t>
  </si>
  <si>
    <t>10, 11, 12, 13</t>
  </si>
  <si>
    <t>MAIZE_EARLYFILL_HEAT42_30_6D
MAIZE_HEAT_FILL39_4_41_5
MAIZE_HNT_FILL28_18D</t>
  </si>
  <si>
    <t>14</t>
  </si>
  <si>
    <t>15</t>
  </si>
  <si>
    <t>16, 17, 18, 19</t>
  </si>
  <si>
    <t>RICE_SUBMERGENCE_SENSITIVE7D
RICE_HEAT_MEAN_33</t>
  </si>
  <si>
    <t>24, 25, 26, 27, 28, 29</t>
  </si>
  <si>
    <t>RICE_COLD_MEAN20
RICE_RAIN25
RICE_HEAT_DAY37_2
RICE_HEAT_NIGHT31_2
RICE_COLD_ANTHESIS17_5D
RICE_DROUGHT_FLOWERING_SWP30</t>
  </si>
  <si>
    <t>18, 20, 21, 22</t>
  </si>
  <si>
    <t>19, 23</t>
  </si>
  <si>
    <t>RICE_HEAT_MEAN_33
RICE_DROUGHT_SM75
RICE_COLD_MEAN20
RICE_RAIN25</t>
  </si>
  <si>
    <t>30, 31</t>
  </si>
  <si>
    <t>RICE_COLD_MEAN17
RICE_RAIN25</t>
  </si>
  <si>
    <t>Sí, solapamiento amplio</t>
  </si>
  <si>
    <t>32</t>
  </si>
  <si>
    <t>34, 35</t>
  </si>
  <si>
    <t>33</t>
  </si>
  <si>
    <t>SOY_GERMINATION_TMAX46_92
SOY_FLOOD_DURATION3</t>
  </si>
  <si>
    <t>37</t>
  </si>
  <si>
    <t>36</t>
  </si>
  <si>
    <t>38, 39, 40, 41</t>
  </si>
  <si>
    <t>SOY_SEASONAL_HEAT30
SOY_WATERLOG_R1_3CM_16D
SOY_FLOOD_DURATION3
SOY_FLOOD_DURATION6_GRAIN</t>
  </si>
  <si>
    <t>43, 44, 46, 47</t>
  </si>
  <si>
    <t>42, 45</t>
  </si>
  <si>
    <t>SOY_FLOOD_DURATION3
SOY_FLOOD_DURATION6_GRAIN</t>
  </si>
  <si>
    <t>48, 49, 51, 52</t>
  </si>
  <si>
    <t>50</t>
  </si>
  <si>
    <t>SOY_SEASONAL_HEAT30
SOY_HNT_FILL28_R5_R7</t>
  </si>
  <si>
    <t>Sí, solo inicio R7</t>
  </si>
  <si>
    <t>52</t>
  </si>
  <si>
    <t>51, 53</t>
  </si>
  <si>
    <t>54</t>
  </si>
  <si>
    <t>56</t>
  </si>
  <si>
    <t>55</t>
  </si>
  <si>
    <t>60, 61, 62, 63</t>
  </si>
  <si>
    <t>WHEAT_HEAT_DAY27_3
WHEAT_HEAT_NIGHT19_6
WHEAT_WATERLOG_Z65_3D
WHEAT_FROST_POSTHEADING_CANOPY_MINUS3_5</t>
  </si>
  <si>
    <t>57, 58, 59</t>
  </si>
  <si>
    <t>WHEAT_BOOT_COLD_MINUS2_24H
WHEAT_BOOT_HEAT35_30_24H
WHEAT_FROST_POSTHEADING_CANOPY_MINUS3_5</t>
  </si>
  <si>
    <t>64, 65</t>
  </si>
  <si>
    <t>WHEAT_HNT_POSTANTHESIS_DELTA3_8
WHEAT_FROST_POSTHEADING_CANOPY_MINUS3_5</t>
  </si>
  <si>
    <t>66</t>
  </si>
  <si>
    <t>Detalle por fila para revisión humana</t>
  </si>
  <si>
    <t>Fila Excel</t>
  </si>
  <si>
    <t>Código inicial</t>
  </si>
  <si>
    <t>Paper: macrofases</t>
  </si>
  <si>
    <t>Excel: macrofases</t>
  </si>
  <si>
    <t>Correspondencia</t>
  </si>
  <si>
    <t>Parte coincidente</t>
  </si>
  <si>
    <t>Fuente / localizador PDF</t>
  </si>
  <si>
    <t>Observación de fase</t>
  </si>
  <si>
    <t>Umbral original</t>
  </si>
  <si>
    <t>Coincide</t>
  </si>
  <si>
    <t>PLOS ONE 2026; pp. 1, 3–4</t>
  </si>
  <si>
    <t>Germinación y emergencia de semillas de maíz.</t>
  </si>
  <si>
    <t>Voothuluru et al. 2017; pp. 1–2</t>
  </si>
  <si>
    <t>Se estudia elongación de hojas y raíces; no se asigna un código V exacto por edad.</t>
  </si>
  <si>
    <t>Hussain et al. 2019; p. 1</t>
  </si>
  <si>
    <t>Se conserva VEG para tasseling conforme a la asignación explícita V7_VT de Hoja1, aunque el paper lo describa como período reproductivo.</t>
  </si>
  <si>
    <t>FLO+REP</t>
  </si>
  <si>
    <t>Solapamiento parcial</t>
  </si>
  <si>
    <t>Liu et al. 2023; pp. 1–3, figura 1</t>
  </si>
  <si>
    <t>El momento del estrés es flowering. Seed set es la respuesta evaluada; no demuestra por separado un umbral para cuajado posterior.</t>
  </si>
  <si>
    <t>Liu et al. 2023; pp. 2–3, figura 1</t>
  </si>
  <si>
    <t>El umbral nocturno se refiere a flowering, homologado FLO; no se homologa toda la reproducción como REP.</t>
  </si>
  <si>
    <t>Li et al. 2025; pp. 3–4</t>
  </si>
  <si>
    <t>La ventana posterior a polinización incluye llenado temprano; no se exige equivalencia exclusiva con R2.</t>
  </si>
  <si>
    <t>El tratamiento continúa después de polinización y abarca llenado; la homologación es FIL, sin validar el umbral.</t>
  </si>
  <si>
    <t>Zhang et al. 2023; p. 3, sección 2.2</t>
  </si>
  <si>
    <t>Aclaración al comentario previo: Zhang 2023 aplica calor diurno durante 6 días, 25–30 días después de silking. La ventana de 15–32 días y calor nocturno corresponde a Wang 2026, no a esta fuente. Ambas ventanas pertenecen a FIL.</t>
  </si>
  <si>
    <t>Wang et al. 2026; pp. 2–3</t>
  </si>
  <si>
    <t>El tratamiento nocturno dura 18 días dentro del llenado efectivo; corresponde a FIL.</t>
  </si>
  <si>
    <t>Xue et al. 2020; pp. 1–2, 4</t>
  </si>
  <si>
    <t>El período de resistencia al acame incluye madurez fisiológica y posmadurez; corresponde a MAT.</t>
  </si>
  <si>
    <t>Zhang et al. 2022; pp. 1, 3–4</t>
  </si>
  <si>
    <t>El experimento de germinación corresponde a EST.</t>
  </si>
  <si>
    <t>EST+VEG</t>
  </si>
  <si>
    <t>Bailey-Serres et al. 2010; pp. 4–5, 9–10</t>
  </si>
  <si>
    <t>La revisión incluye plántulas y experimentos en etapa vegetativa. BBCH_10_19 corresponde a VEG según la tabla específica de arroz de Hoja1.</t>
  </si>
  <si>
    <t>La exposición vegetativa es compatible con macollamiento, sin que el paper precise BBCH_20_29.</t>
  </si>
  <si>
    <t>VEG+REP+FLO+FIL</t>
  </si>
  <si>
    <t>VEG+REP</t>
  </si>
  <si>
    <t>Sun et al. 2025; pp. 4–5, sección 2.3.1 y tabla 1</t>
  </si>
  <si>
    <t>Jointing–booting comprende elongación y embuchamiento: VEG + REP. El indicador de calor también se usa en #2 y #3; no es exclusivo de #1.</t>
  </si>
  <si>
    <t>Bailey-Serres et al. 2010; pp. 9–10</t>
  </si>
  <si>
    <t>La fuente describe exposición vegetativa. Dentro de BBCH_30_39 se conserva solo el solapamiento VEG; no se confirma específicamente inicio de panícula (REP).</t>
  </si>
  <si>
    <t>El indicador de sequía se aplica a las tres ventanas; embuchamiento y emergencia de panícula quedan incluidos en REP.</t>
  </si>
  <si>
    <t>REP+FLO</t>
  </si>
  <si>
    <t>Sun et al. 2025; pp. 4–5, tabla 1</t>
  </si>
  <si>
    <t>Heading corresponde a REP y flowering a FLO. El solapamiento con BBCH_40_59 es la emergencia de panícula, no todo el embuchamiento.</t>
  </si>
  <si>
    <t>La lluvia en #2 incluye REP por heading y FLO por flowering; compatible con la parte heading de BBCH_40_59.</t>
  </si>
  <si>
    <t>No demostrado</t>
  </si>
  <si>
    <t>Aclaración al comentario previo: la reducción posterior de componentes reproductivos no prueba que la inundación se aplicara en embuchamiento. La mención general antes de floración no confirma el umbral de 7 días para BBCH_40_59. Correspondencia REP no demostrada.</t>
  </si>
  <si>
    <t>BBCH_60_69 queda incluido en la parte flowering (FLO).</t>
  </si>
  <si>
    <t>El momento fenológico del umbral es floración (FLO), aunque se mida el cuajado de grano.</t>
  </si>
  <si>
    <t>El umbral nocturno se refiere a floración (FLO).</t>
  </si>
  <si>
    <t>Zeng et al. 2017; pp. 1–3</t>
  </si>
  <si>
    <t>La fase del ensayo es antesis, no una etapa reproductiva indiferenciada.</t>
  </si>
  <si>
    <t>Yang et al. 2019; pp. 1–2, métodos</t>
  </si>
  <si>
    <t>La sequía se aplica durante floración; corresponde a FLO.</t>
  </si>
  <si>
    <t>FIL+MAT</t>
  </si>
  <si>
    <t>La ventana #3 incluye llenado (FIL) y llega hasta madurez; BBCH_70_79 está incluido.</t>
  </si>
  <si>
    <t>Solapamiento amplio</t>
  </si>
  <si>
    <t>Mu et al. 2025; pp. 1–2, introducción</t>
  </si>
  <si>
    <t>El paper usa ripening or grain-filling para una ventana amplia de 30–40 días. El valor &gt;28 °C se enuncia para grain filling. Se admite solapamiento terminológico con MAT por ripening, pero no un umbral independiente para todo BBCH_80_99.</t>
  </si>
  <si>
    <t>FLO+FIL</t>
  </si>
  <si>
    <t>No coincide</t>
  </si>
  <si>
    <t>Schauberger et al. 2017; p. 6, discusión</t>
  </si>
  <si>
    <t>Comparación de macrofases; véase comentario del revisor. Análisis agregado de temporada; compatibilidad fenológica, no umbral específico por fase.</t>
  </si>
  <si>
    <t>Alsajri 2018; p. 3, resumen del repositorio</t>
  </si>
  <si>
    <t>La temperatura cardinal máxima citada corresponde a germinación. El PDF local contiene la ficha y el resumen de la tesis, no el texto completo; la fase sí está explícita.</t>
  </si>
  <si>
    <t>Shen et al. 2023; pp. 1–3, métodos y tabla 1</t>
  </si>
  <si>
    <t>Comparación de macrofases; véase comentario del revisor.</t>
  </si>
  <si>
    <t>Adegoye et al. 2023; pp. 1, 3–4</t>
  </si>
  <si>
    <t>Yang et al. 2023; pp. 1, 3, métodos</t>
  </si>
  <si>
    <t>Akter e Islam 2017 (cita Gupta et al. 2013a); p. 5, tabla 1</t>
  </si>
  <si>
    <t>Vuković et al. 2023; pp. 1–3</t>
  </si>
  <si>
    <t>Liu et al. 2019; pp. 1–3</t>
  </si>
  <si>
    <t>Barber et al. 2017; pp. 1–3, 5</t>
  </si>
  <si>
    <t>Frederiks et al. 2015; pp. 2, 4, 7–8</t>
  </si>
  <si>
    <t>Liu et al. 2023; p. 1</t>
  </si>
  <si>
    <t>Liu et al. 2023; p. 3</t>
  </si>
  <si>
    <t>Ma et al. 2022; p. 2, métodos</t>
  </si>
  <si>
    <t>Hein et al. 2020; pp. 1–3, métodos</t>
  </si>
  <si>
    <t>Kang et al. 2024; pp. 2–3, métodos</t>
  </si>
  <si>
    <t>Corte original: 2026-08-17. Añadida referencia de maíz REP el 2026-09-14, publicada en /risk; pp. 2, 5–6 verificadas visualmente.</t>
  </si>
  <si>
    <t>Variable amenaza</t>
  </si>
  <si>
    <t>Umbral exacto</t>
  </si>
  <si>
    <t>Tiempo consecutivo</t>
  </si>
  <si>
    <t>&lt; 6 °C</t>
  </si>
  <si>
    <t>2 h</t>
  </si>
  <si>
    <t>Potencial hídrico del suelo</t>
  </si>
  <si>
    <t>≤ -0.51 MPa</t>
  </si>
  <si>
    <t>4 días</t>
  </si>
  <si>
    <t>38/30 °C</t>
  </si>
  <si>
    <t>15 días</t>
  </si>
  <si>
    <t>&gt; 37.9 °C</t>
  </si>
  <si>
    <t>≈ 27.3 °C</t>
  </si>
  <si>
    <t>≥ 42 °C</t>
  </si>
  <si>
    <t>6 días</t>
  </si>
  <si>
    <t>Temperatura máxima del aire</t>
  </si>
  <si>
    <t>≥ 39.4 °C</t>
  </si>
  <si>
    <t>≥ 28 °C</t>
  </si>
  <si>
    <t>18 noches</t>
  </si>
  <si>
    <t>&gt; 15 m/s</t>
  </si>
  <si>
    <t>Temperatura del aire</t>
  </si>
  <si>
    <t>≥ 38 °C</t>
  </si>
  <si>
    <t>24 h</t>
  </si>
  <si>
    <t>Duración de sumersión</t>
  </si>
  <si>
    <t>≥ 7 días</t>
  </si>
  <si>
    <t>7 días</t>
  </si>
  <si>
    <t>≥ 33 °C</t>
  </si>
  <si>
    <t>1 día</t>
  </si>
  <si>
    <t>Humedad del suelo</t>
  </si>
  <si>
    <t>≤ 75 %</t>
  </si>
  <si>
    <t>10 días</t>
  </si>
  <si>
    <t>≤ 20 °C</t>
  </si>
  <si>
    <t>≥ 25 mm/día</t>
  </si>
  <si>
    <t>&gt; 37.2 °C</t>
  </si>
  <si>
    <t>&gt; 31.2 °C</t>
  </si>
  <si>
    <t>≤ 17 °C</t>
  </si>
  <si>
    <t>5 días</t>
  </si>
  <si>
    <t>≤ -30 kPa</t>
  </si>
  <si>
    <t>&gt; 28 °C</t>
  </si>
  <si>
    <t>&gt; 30 °C</t>
  </si>
  <si>
    <t>46.92 °C</t>
  </si>
  <si>
    <t>Duración de inundación</t>
  </si>
  <si>
    <t>&gt; 3 días</t>
  </si>
  <si>
    <t>3 días</t>
  </si>
  <si>
    <t>Profundidad de agua</t>
  </si>
  <si>
    <t>≥ 3 cm</t>
  </si>
  <si>
    <t>16 días</t>
  </si>
  <si>
    <t>&gt; 6 días</t>
  </si>
  <si>
    <t>12 h por noche</t>
  </si>
  <si>
    <t>42 °C</t>
  </si>
  <si>
    <t>Humedad volumétrica del suelo</t>
  </si>
  <si>
    <t>Reducción ≥ 45 %</t>
  </si>
  <si>
    <t>14 días</t>
  </si>
  <si>
    <t>≤ -2 °C</t>
  </si>
  <si>
    <t>35/30 °C</t>
  </si>
  <si>
    <t>≤ -3.5 °C</t>
  </si>
  <si>
    <t>&gt; 27.3 °C</t>
  </si>
  <si>
    <t>&gt; 19.6 °C</t>
  </si>
  <si>
    <t>Duración de anegamiento</t>
  </si>
  <si>
    <t>≥ 3 días</t>
  </si>
  <si>
    <t>≥ +3.8 °C</t>
  </si>
  <si>
    <t>Cada noche desde 50 % de antesis hasta madurez</t>
  </si>
  <si>
    <t>≥ 5 mm/h</t>
  </si>
  <si>
    <t>8 h</t>
  </si>
  <si>
    <t>Cuajado inicial (parte final de R1)</t>
  </si>
  <si>
    <t>Calor durante el cuajado inicial</t>
  </si>
  <si>
    <t>No establecido. Tmax media de los tratamientos: 38,8 °C (2019) y 40,8 °C (2021); calentamiento diurno durante 6 días, 08:00–18:00. No es un umbral de inicio del daño.</t>
  </si>
  <si>
    <t>Tratamiento perjudicial; umbral no establecido</t>
  </si>
  <si>
    <t>Reducción del número de granos, compatible con aborto de granos y afectación del cuajado inicial.</t>
  </si>
  <si>
    <t>Granos por mazorca: −12,6 % (2019), −7,8 % (2021). Rendimiento: −14,9 % y −8,7 %, respectivamente.</t>
  </si>
  <si>
    <t>2, 5–6</t>
  </si>
  <si>
    <t>Sección 2.2, p. 2: “During the lag stage (5–10 d after silking)”. Secciones 3.1–3.2, p. 5: Tmax media LSH de 38,8 °C y 40,8 °C; número de granos por mazorca −12,6 % y −7,8 %, respectivamente. Tabla 1, p. 6. Resumen en español de resultados; no es una cita textual completa.</t>
  </si>
  <si>
    <t>Ensayo en Hengshui, China; híbrido sensible Xianyu335; tres repeticiones. Ventana: 5–10 días después de silking. REP es una homologación del proyecto para cuajado inicial, con posible transición a R2. El paper denomina esta ventana lag stage dentro del llenado; no demuestra equivalencia exclusiva con R1 ni un umbral térmico calibrado.</t>
  </si>
  <si>
    <t>MAIZE_REP_LAG_HEAT_ZHANG2023</t>
  </si>
  <si>
    <t>Referencia incorporada tras revisar pp. 2, 5–6. Sustenta la amenaza con solapamiento fenológico; no valida una temperatura límite. Corresponde a LSH (5–10 días), distinto de FSH (25–30 días) ya registrado para llenado.</t>
  </si>
  <si>
    <t>Lag stage, 5–10 días después de silking → REP – Cuajado inicial; solapamiento posible con R2/FIL</t>
  </si>
  <si>
    <t>38.8–40.8 °C</t>
  </si>
  <si>
    <t>Revisión de 63 filas. Q conserva comentarios; R homologa la fase del paper y S la fase del Excel. Nueva evidencia REP de maíz en fila 67.</t>
  </si>
  <si>
    <t>Maíz REP: evidencia de calor en cuajado inicial con solapamiento; umbral no establecido. Arroz MAT: solapamiento amplio. Soya MAT: solo inicio R7.</t>
  </si>
  <si>
    <t>Parcial; sin umbral</t>
  </si>
  <si>
    <t>67</t>
  </si>
  <si>
    <t>REP+FIL (homologación)</t>
  </si>
  <si>
    <t>REP – cuajado inicial</t>
  </si>
  <si>
    <t>Zhang et al. 2023; p. 2, §2.2; p. 5, §3.1–3.2; p. 6, tabla 1</t>
  </si>
  <si>
    <t>DOI de nueva fuente</t>
  </si>
  <si>
    <t>Fragmento textual verificado</t>
  </si>
  <si>
    <t>Ubicación verificada</t>
  </si>
  <si>
    <t>Resultado de verificación</t>
  </si>
  <si>
    <t>Uso del dato para cuantificar</t>
  </si>
  <si>
    <t>Estado de descarga</t>
  </si>
  <si>
    <t>Fecha de verificación</t>
  </si>
  <si>
    <t>Referencias / apoyo relacionado</t>
  </si>
  <si>
    <t>V0–VE</t>
  </si>
  <si>
    <t>34.0 °C</t>
  </si>
  <si>
    <t>Umbral estimado (ROC/Youden)</t>
  </si>
  <si>
    <t>Sí respalda umbral térmico fase-específico. La etiqueta VEG/REP del pedido no se aplica a todos los estadios.</t>
  </si>
  <si>
    <t>Li et al. 2025a</t>
  </si>
  <si>
    <t>Conclusion HTML; Fig. 2 no revisada sin PDF</t>
  </si>
  <si>
    <t>critical thresholds of 34.0°C (V0-VE), 34.1°C (VE-V6), 34.6°C (V6-VT), 34.8°C (VT-R1)</t>
  </si>
  <si>
    <t>Tmax diaria; K−273.15. Complementar duración con Li 2025b con cautela; no extender a toda macrofase. Diferencia R3–R6: Li 2025a 32.9 °C frente a Li 2025b 32.7 °C.</t>
  </si>
  <si>
    <t>PDF pendiente de descarga</t>
  </si>
  <si>
    <t>NUEVA_LI_2025A_01</t>
  </si>
  <si>
    <t>Nueva evidencia: revisión documentada</t>
  </si>
  <si>
    <t>No calibrada en esta fuente</t>
  </si>
  <si>
    <t>10.1016/j.eja.2025.127729</t>
  </si>
  <si>
    <t>Confirmado en HTML/resumen editorial; PDF pendiente</t>
  </si>
  <si>
    <t>PDF pendiente; acceso editorial restringido o descarga fallida</t>
  </si>
  <si>
    <t>2026-10-04</t>
  </si>
  <si>
    <t>Li 2025b; DOI 10.3390/agronomy15071545</t>
  </si>
  <si>
    <t>EST/VEG</t>
  </si>
  <si>
    <t>VE–V6</t>
  </si>
  <si>
    <t>34.1 °C</t>
  </si>
  <si>
    <t>NUEVA_LI_2025A_02</t>
  </si>
  <si>
    <t>V6–VT</t>
  </si>
  <si>
    <t>34.6 °C</t>
  </si>
  <si>
    <t>NUEVA_LI_2025A_03</t>
  </si>
  <si>
    <t>VEG/FLO</t>
  </si>
  <si>
    <t>VT–R1</t>
  </si>
  <si>
    <t>34.8 °C</t>
  </si>
  <si>
    <t>NUEVA_LI_2025A_04</t>
  </si>
  <si>
    <t>EST/VEG/FLO/REP/FIL</t>
  </si>
  <si>
    <t>V0–VE; VE–V6; V6–VT; VT–R1; R1–R3; R3–R6</t>
  </si>
  <si>
    <t>Duración de calor</t>
  </si>
  <si>
    <t>Leve</t>
  </si>
  <si>
    <t>Clasificación empírica; provisional</t>
  </si>
  <si>
    <t>Respaldado, con inconsistencia: §3.1.1 p. 7 dice 5–8 días moderados; Tabla 2 presenta límites fraccionarios diferentes por estadio.</t>
  </si>
  <si>
    <t>Li et al. 2025b</t>
  </si>
  <si>
    <t>PDF p. 1 abstract; p. 4 §2.3.1; p. 7 Tabla 2; p. 14 Conclusion</t>
  </si>
  <si>
    <t>duration thresholds of mild, moderate, and severe heat damage … are 3–5 days, 6–8 days, and more than 8 days</t>
  </si>
  <si>
    <t>Contar rachas consecutivas con Tmax ≥ umbral propio de cada estadio. La regla general no sustituye Tabla 2. Umbrales p. 4: 34.0/34.1/34.6/34.8/33.7/32.7 °C. No decidir redondeo ni discrepancias automáticamente.</t>
  </si>
  <si>
    <t>NUEVA_LI_2025B_05</t>
  </si>
  <si>
    <t>3–5 días consecutivos</t>
  </si>
  <si>
    <t>10.3390/agronomy15071545</t>
  </si>
  <si>
    <t>Confirmado en PDF</t>
  </si>
  <si>
    <t>PDF completo descargado y validado</t>
  </si>
  <si>
    <t>Li 2025a; DOI 10.1016/j.eja.2025.127729</t>
  </si>
  <si>
    <t>Moderado</t>
  </si>
  <si>
    <t>NUEVA_LI_2025B_06</t>
  </si>
  <si>
    <t>6–8 días consecutivos</t>
  </si>
  <si>
    <t>Severo</t>
  </si>
  <si>
    <t>NUEVA_LI_2025B_07</t>
  </si>
  <si>
    <t>&gt;8 días consecutivos</t>
  </si>
  <si>
    <t>Tillering–jointing</t>
  </si>
  <si>
    <t>36 °C</t>
  </si>
  <si>
    <t>Umbral estimado (ROC)</t>
  </si>
  <si>
    <t>Sí es umbral discriminante entre eventos con/sin daño; no extrapolar a otras fases.</t>
  </si>
  <si>
    <t>Jiang et al. 2023</t>
  </si>
  <si>
    <t>PDF p. 17 §5 Conclusion; p. 10 §3.2.2 y Fig. 5</t>
  </si>
  <si>
    <t>Tmax of 36 °C at tillering–jointing</t>
  </si>
  <si>
    <t>§2.5.1 p. 7: contar días que exceden36°C y acumular max(Tmax−36,0) en tillering–jointing; §2.5.2 define proceso de calor con al menos3 días. Distinguir esta definición de una duración crítica de daño estimada. Día local; K−273.15.</t>
  </si>
  <si>
    <t>NUEVA_JIANG_2023_08</t>
  </si>
  <si>
    <t>Proceso de calor: al menos 3 días; definición operativa §2.5.2, no duración calibrada por ROC</t>
  </si>
  <si>
    <t>10.3390/agronomy13102574</t>
  </si>
  <si>
    <t>PDF p. 17 §5 Conclusion; p. 10 §3.2.2 y Fig. 5; p. 7 §2.5.1–2.5.2</t>
  </si>
  <si>
    <t>Germinación/emergencia</t>
  </si>
  <si>
    <t>Temperatura del suelo</t>
  </si>
  <si>
    <t>10 °C</t>
  </si>
  <si>
    <t>Referencia previa; no breakpoint</t>
  </si>
  <si>
    <t>El paper cita el valor; no lo reestima. 1.7/10 °C son tratamientos. Para origen del umbral revisar Haider et al. 2023.</t>
  </si>
  <si>
    <t>Neththasinghe et al. 2025</t>
  </si>
  <si>
    <t>PDF p. 2 (impresa 1534), Introduction; referencia Haider et al. 2023</t>
  </si>
  <si>
    <t>The standard soybean germination soil temperature threshold is 10 °C</t>
  </si>
  <si>
    <t>soil_temperature_level_1, 0–7 cm, aproximación a siembra 2.5/3.8 cm. K−273.15. Estadístico del valor bibliográfico pendiente; Tmin no es equivalencia demostrada.</t>
  </si>
  <si>
    <t>NUEVA_NETHTHASINGHE_2025_09</t>
  </si>
  <si>
    <t>No definida para este valor</t>
  </si>
  <si>
    <t>10.1007/s11104-025-07814-8</t>
  </si>
  <si>
    <t>Haider et al. 2023 (citado en Introduction)</t>
  </si>
  <si>
    <t>V3–V7</t>
  </si>
  <si>
    <t>Humedad del suelo relativa a capacidad de campo</t>
  </si>
  <si>
    <t>50 % FC (sequía); 80 % FC (control)</t>
  </si>
  <si>
    <t>Tratamiento experimental</t>
  </si>
  <si>
    <t>Sí describe tratamiento; no punto universal de cambio de respuesta.</t>
  </si>
  <si>
    <t>Ortel et al. 2024</t>
  </si>
  <si>
    <t>Visor PDF editorial p. 1, Abstract; PDF local pendiente</t>
  </si>
  <si>
    <t>soil moisture at 50% (drought) or 80% (well-watered) field capacity</t>
  </si>
  <si>
    <t>Derivar 100×θ/θFC en igual base y profundidad. Necesita capacidad de campo local; 50 % FC no equivale a 0.50 m³/m³. No usar como umbral universal.</t>
  </si>
  <si>
    <t>NUEVA_ORTEL_2024_10</t>
  </si>
  <si>
    <t>Periodo V3–V7; no duración crítica</t>
  </si>
  <si>
    <t>10.1002/agg2.20576</t>
  </si>
  <si>
    <t>Confirmado en visor editorial (abstract); PDF local pendiente</t>
  </si>
  <si>
    <t>Agotamiento de agua disponible del suelo</t>
  </si>
  <si>
    <t>AD &gt;50 %: criterio asumido</t>
  </si>
  <si>
    <t>Sensibilidad de fase; criterio asumido</t>
  </si>
  <si>
    <t>Sí respalda pérdida de 23 % en R4. AD&gt;50 % fue asumido como estrés, no estimado por breakpoint.</t>
  </si>
  <si>
    <t>−23 % rendimiento en este ensayo</t>
  </si>
  <si>
    <t>Ravelombola et al. 2022</t>
  </si>
  <si>
    <t>PDF p. 12 §4 Discussion; p. 10 §3.4; p. 8 Tabla 2; p. 9 AD</t>
  </si>
  <si>
    <t>Yield reductions in this study (23%) when irrigation was delayed at R4 stage</t>
  </si>
  <si>
    <t>AD=100×[1−(θ−WP)/(FC−WP)]; requiere FC, WP y profundidad locales. Tabla 2 R4: AD60 % y87 %; fases anteriores también superaron50 %. No usar universal.</t>
  </si>
  <si>
    <t>NUEVA_RAVELOMBOLA_2022_11</t>
  </si>
  <si>
    <t>Retraso de riego hasta R4; no duración calibrada</t>
  </si>
  <si>
    <t>10.3390/agronomy12051115</t>
  </si>
  <si>
    <t>Fase reproductiva; flores/polen</t>
  </si>
  <si>
    <t>&lt;15 °C (tolerante)</t>
  </si>
  <si>
    <t>Umbral explícito; regla incompleta</t>
  </si>
  <si>
    <t>Sí es umbral genotipo-dependiente. Falta estadístico térmico y duración en el material accesible.</t>
  </si>
  <si>
    <t>Gass et al. 1996</t>
  </si>
  <si>
    <t>Abstract HTML editorial; artículo pp. 71–88; página puntual sin verificar</t>
  </si>
  <si>
    <t>threshold below which temperatures can be considered to be damaging (15 and 18°C, respectively)</t>
  </si>
  <si>
    <t>No activar regla diaria hasta revisar métodos. 2m_temperature permite derivar Tmin como proxy, pero el resumen no establece que el valor sea Tmin.</t>
  </si>
  <si>
    <t>NUEVA_GASS_1996_12</t>
  </si>
  <si>
    <t>No disponible en resumen</t>
  </si>
  <si>
    <t>10.1016/S1161-0301(96)02011-4</t>
  </si>
  <si>
    <t>&lt;18 °C (susceptible)</t>
  </si>
  <si>
    <t>NUEVA_GASS_1996_13</t>
  </si>
  <si>
    <t>FIL/MAT</t>
  </si>
  <si>
    <t>R6–R8 (late reproductive)</t>
  </si>
  <si>
    <t>Precipitación acumulada</t>
  </si>
  <si>
    <t>&gt;100 mm acumulados</t>
  </si>
  <si>
    <t>Clasificación ambiental; provisional</t>
  </si>
  <si>
    <t>Sí respalda asociación con deterioro de semilla. Ventana R6–R8 abarca llenado/maduración; no breakpoint causal universal.</t>
  </si>
  <si>
    <t>Deterioro de calidad de semilla</t>
  </si>
  <si>
    <t>Weerasekara et al. 2021</t>
  </si>
  <si>
    <t>PDF p. 17 Conclusions; p. 7 Fig. 2; Tabla 2</t>
  </si>
  <si>
    <t>Rapid seed deterioration in the field occurred when more than 100 mm of cumulative rainfall coincided with the late reproductive stage.</t>
  </si>
  <si>
    <t>Sumar incrementos diarios de precipitación en R6–R8, m×1000 a mm, día local. No aplicar100mm/día ni ventana fija universal. No sumar acumulados horarios sin desacumular.</t>
  </si>
  <si>
    <t>NUEVA_WEERASEKARA_2021_14</t>
  </si>
  <si>
    <t>Ventana fenológica R6–R8</t>
  </si>
  <si>
    <t>10.3390/agronomy11071430</t>
  </si>
  <si>
    <t>Germinación/plántula</t>
  </si>
  <si>
    <t>Temperatura experimental constante</t>
  </si>
  <si>
    <t>30 °C (tratamiento)</t>
  </si>
  <si>
    <t>Diseño20/25/30/35°C: los valores30/35 son tratamientos, no thresholds estimados.</t>
  </si>
  <si>
    <t>Sharma et al. 2022</t>
  </si>
  <si>
    <t>PDF p. 1 Abstract; p. 3 §2.2; Tabla 3 y Figs. 7–8</t>
  </si>
  <si>
    <t>The seeds were sown under four temperatures, viz., 20 °C, 25 °C, 30 °C and 35 °C</t>
  </si>
  <si>
    <t>No usar ≥30/35°C como breakpoint. Media diaria exterior sería proxy de cámara; no prueba exposición constante8d.</t>
  </si>
  <si>
    <t>NUEVA_SHARMA_2022_15</t>
  </si>
  <si>
    <t>8 días de ensayo; no duración crítica</t>
  </si>
  <si>
    <t>10.3390/agriculture12091500</t>
  </si>
  <si>
    <t>35 °C (tratamiento)</t>
  </si>
  <si>
    <t>NUEVA_SHARMA_2022_16</t>
  </si>
  <si>
    <t>VEG/REP</t>
  </si>
  <si>
    <t>Jointing–heading</t>
  </si>
  <si>
    <t>Humedad relativa del suelo (RSM)</t>
  </si>
  <si>
    <t>56.6 % RSM (límite sin sequía/leve)</t>
  </si>
  <si>
    <t>Umbral formal (inflexión/curvatura)</t>
  </si>
  <si>
    <t>Sí deriva límites de curvas ajustadas. Ensayo jointing–heading, no todaVEG. Igualdades no cubiertas por las desigualdades publicadas.</t>
  </si>
  <si>
    <t>Chen et al. 2022</t>
  </si>
  <si>
    <t>PDF p. 15 Conclusions; p. 11 Tabla 7; p. 6 Eq. 6; Figs. 4–6</t>
  </si>
  <si>
    <t>There was no drought when RSM &gt; 56.6%, mild drought when 56.6% &gt; RSM &gt; 43.6%</t>
  </si>
  <si>
    <t>RSM=100×θ/θFC, misma base; fuente usa humedad gravimétrica suelo0–30cm. Convertir base con densidad; ponderar capasERA5 para0–30cm y definirFC local. &gt;56.6sin sequía;43.6&lt;RSM&lt;56.6leve;&lt;43.6severa. Resolver igualdad antes de programar.</t>
  </si>
  <si>
    <t>NUEVA_CHEN_2022_17</t>
  </si>
  <si>
    <t>No calibrada como días consecutivos</t>
  </si>
  <si>
    <t>10.3390/atmos13040596</t>
  </si>
  <si>
    <t>43.6 % RSM (límite leve/severa)</t>
  </si>
  <si>
    <t>NUEVA_CHEN_2022_18</t>
  </si>
  <si>
    <t>Gametogénesis–plena floración (full bloom)</t>
  </si>
  <si>
    <t>Temperatura diurna alta</t>
  </si>
  <si>
    <t>36.5–38.6 °C (exposición observada)</t>
  </si>
  <si>
    <t>Exposición de campo; no breakpoint</t>
  </si>
  <si>
    <t>Sí asocia calor con esta fase y menor fotosíntesis/cuaje. El rango observado no es un umbral estimado. Publicación revista2019; online2018.</t>
  </si>
  <si>
    <t>Fotosíntesis−22 %; cuaje de vainas−11 % frente a ExperimentoIII</t>
  </si>
  <si>
    <t>Djanaguiraman et al. 2019</t>
  </si>
  <si>
    <t>PDF editorial p. 1 (321), Abstract; p. 5 (325) §3.1; archivo local pendiente</t>
  </si>
  <si>
    <t>Experiment I had HDT between gametogenesis and full bloom (36.5°C to 38.6°C)</t>
  </si>
  <si>
    <t>§3.1 p. 5: promedios de Tmax diurna:36.5°C en7 días previos aR1 y38.6°C enR1–R2. Derivar Tmax diaria de2m_temperature y promediar en cada ventana (proxy de máximo diurno). Son medias de exposición observada, no umbrales diarios ni duración crítica. La estadística limita la homologación.</t>
  </si>
  <si>
    <t>NUEVA_DJANAGUIRAMAN_2019_19</t>
  </si>
  <si>
    <t>7 días previos aR1 (36.5°C);R1–R2 (38.6°C); ventanas observadas, no duración crítica</t>
  </si>
  <si>
    <t>10.1111/pce.13421</t>
  </si>
  <si>
    <t>Confirmado en PDF editorial accesible en web; descarga local pendiente</t>
  </si>
  <si>
    <t>V7–V9 (T1); V6–V8 (T2); V6–V7 (T3)</t>
  </si>
  <si>
    <t>Déficit hídrico del suelo</t>
  </si>
  <si>
    <t>FTSW crítica0.29–0.49, dependiente de cultivar/ensayo</t>
  </si>
  <si>
    <t>Umbral de respuesta de transpiración; no umbral universal de pérdida de rendimiento</t>
  </si>
  <si>
    <t>Sí asocia déficit hídrico a fase vegetativa. FTSW crítica estimada en tres cultivares y tres ensayos; no equivale a %FC.</t>
  </si>
  <si>
    <t>Reducción de transpiración / control estomático</t>
  </si>
  <si>
    <t>Martins et al. 2022</t>
  </si>
  <si>
    <t>PDF p. 4 (impresa2452), Water deficit imposition; valores Abstract p. 2 (2450)</t>
  </si>
  <si>
    <t>when the plants were between stages V7 and V9</t>
  </si>
  <si>
    <t>FTSW representa fracción de agua transpirable entre máximos/mínimos operativos del ensayo. ERA5-Land ofrece humedad volumétrica, pero exige parámetros de agua transpirable, perfil radicular y calibración; no comparar0.29 conθ=0.29m³/m³. T1:0.33/0.29/0.31;T2:0.35/0.41/0.43;T3:0.31/0.49/0.45 en orden BMX GARRA/DM66I68/NA5909.</t>
  </si>
  <si>
    <t>NUEVA_MARTINS_2022_20</t>
  </si>
  <si>
    <t>Secado progresivo; no duración universal</t>
  </si>
  <si>
    <t>10.5433/1679-0359.2022v43n6p2449</t>
  </si>
  <si>
    <t>Ventana crítica que abarca floración</t>
  </si>
  <si>
    <t>Sequedad atmosférica (VPD alto)</t>
  </si>
  <si>
    <t>Sin umbral numérico incorporado</t>
  </si>
  <si>
    <t>Asociación estadística fase-específica</t>
  </si>
  <si>
    <t>Sí asocia baja humedad atmosférica con menor rendimiento del maíz en ventana crítica. No identifica aquí un cutoff VPD con duración.</t>
  </si>
  <si>
    <t>Respuesta negativa de rendimiento</t>
  </si>
  <si>
    <t>Hoffman et al. 2020</t>
  </si>
  <si>
    <t>Abstract HTML editorial; §4 Discussion (VPD mayor sensibilidad durante floración); PDF pendiente</t>
  </si>
  <si>
    <t>negative response to low atmospheric humidity during the critical phase that encompasses flowering</t>
  </si>
  <si>
    <t>Derivar VPD horario=es(T2m)−es(Td2m), con ambas temperaturas en°C y misma unidad de presión. Agregación/fase exacta requieren métodos completos; VPD no existe como campo directo ERA5-Land. No trasladar29°C del resumen a una reglaFLO deVPD.</t>
  </si>
  <si>
    <t>NUEVA_HOFFMAN_2020_21</t>
  </si>
  <si>
    <t>Ventana crítica alrededor de floración</t>
  </si>
  <si>
    <t>10.1088/1748-9326/ab7b22</t>
  </si>
  <si>
    <t>Inventario: 38 Rule ID previos y 21 nuevas filas de evidencia para13 DOI. No equivale a número de papers ni umbrales validados.</t>
  </si>
  <si>
    <t>Resumen estático de las 63 filas anteriores. Las 21 filas añadidas el 2026-10-04 (Auditoría web68–88) no están incluidas en estos conteos; consultar su verificación y categoría. No sumar fases solapadas.</t>
  </si>
  <si>
    <t>ID evidencia</t>
  </si>
  <si>
    <t>Ir a Auditoría web</t>
  </si>
  <si>
    <t>AUD-068</t>
  </si>
  <si>
    <t>Abrir paper / DOI</t>
  </si>
  <si>
    <t>AUD-069</t>
  </si>
  <si>
    <t>AUD-072</t>
  </si>
  <si>
    <t>AUD-073</t>
  </si>
  <si>
    <t>AUD-074</t>
  </si>
  <si>
    <t>AUD-005</t>
  </si>
  <si>
    <t>AUD-007</t>
  </si>
  <si>
    <t>AUD-070</t>
  </si>
  <si>
    <t>AUD-071</t>
  </si>
  <si>
    <t>AUD-006</t>
  </si>
  <si>
    <t>AUD-008</t>
  </si>
  <si>
    <t>AUD-009</t>
  </si>
  <si>
    <t>AUD-067</t>
  </si>
  <si>
    <t>AUD-088</t>
  </si>
  <si>
    <t>AUD-012</t>
  </si>
  <si>
    <t>AUD-010</t>
  </si>
  <si>
    <t>AUD-011</t>
  </si>
  <si>
    <t>AUD-013</t>
  </si>
  <si>
    <t>AUD-014</t>
  </si>
  <si>
    <t>AUD-015</t>
  </si>
  <si>
    <t>AUD-018</t>
  </si>
  <si>
    <t>VEG / REP</t>
  </si>
  <si>
    <t>AUD-075</t>
  </si>
  <si>
    <t>AUD-016</t>
  </si>
  <si>
    <t>AUD-017</t>
  </si>
  <si>
    <t>AUD-019</t>
  </si>
  <si>
    <t>AUD-020</t>
  </si>
  <si>
    <t>AUD-021</t>
  </si>
  <si>
    <t>AUD-023</t>
  </si>
  <si>
    <t>AUD-022</t>
  </si>
  <si>
    <t>AUD-026</t>
  </si>
  <si>
    <t>AUD-027</t>
  </si>
  <si>
    <t>AUD-029</t>
  </si>
  <si>
    <t>AUD-024</t>
  </si>
  <si>
    <t>AUD-028</t>
  </si>
  <si>
    <t>AUD-025</t>
  </si>
  <si>
    <t>AUD-030</t>
  </si>
  <si>
    <t>AUD-031</t>
  </si>
  <si>
    <t>AUD-032</t>
  </si>
  <si>
    <t>AUD-033</t>
  </si>
  <si>
    <t>AUD-034</t>
  </si>
  <si>
    <t>AUD-076</t>
  </si>
  <si>
    <t>AUD-035</t>
  </si>
  <si>
    <t>AUD-036</t>
  </si>
  <si>
    <t>AUD-077</t>
  </si>
  <si>
    <t>AUD-087</t>
  </si>
  <si>
    <t>AUD-037</t>
  </si>
  <si>
    <t>AUD-042</t>
  </si>
  <si>
    <t>AUD-045</t>
  </si>
  <si>
    <t>AUD-078</t>
  </si>
  <si>
    <t>AUD-043</t>
  </si>
  <si>
    <t>AUD-044</t>
  </si>
  <si>
    <t>AUD-046</t>
  </si>
  <si>
    <t>AUD-047</t>
  </si>
  <si>
    <t>AUD-038</t>
  </si>
  <si>
    <t>AUD-079</t>
  </si>
  <si>
    <t>AUD-080</t>
  </si>
  <si>
    <t>AUD-086</t>
  </si>
  <si>
    <t>AUD-039</t>
  </si>
  <si>
    <t>AUD-040</t>
  </si>
  <si>
    <t>AUD-041</t>
  </si>
  <si>
    <t>AUD-048</t>
  </si>
  <si>
    <t>AUD-049</t>
  </si>
  <si>
    <t>AUD-051</t>
  </si>
  <si>
    <t>AUD-052</t>
  </si>
  <si>
    <t>AUD-050</t>
  </si>
  <si>
    <t>AUD-081</t>
  </si>
  <si>
    <t>AUD-053</t>
  </si>
  <si>
    <t>AUD-054</t>
  </si>
  <si>
    <t>AUD-082</t>
  </si>
  <si>
    <t>AUD-083</t>
  </si>
  <si>
    <t>AUD-055</t>
  </si>
  <si>
    <t>AUD-056</t>
  </si>
  <si>
    <t>AUD-084</t>
  </si>
  <si>
    <t>AUD-085</t>
  </si>
  <si>
    <t>AUD-058</t>
  </si>
  <si>
    <t>AUD-057</t>
  </si>
  <si>
    <t>AUD-059</t>
  </si>
  <si>
    <t>AUD-060</t>
  </si>
  <si>
    <t>AUD-061</t>
  </si>
  <si>
    <t>AUD-063</t>
  </si>
  <si>
    <t>AUD-062</t>
  </si>
  <si>
    <t>AUD-064</t>
  </si>
  <si>
    <t>AUD-065</t>
  </si>
  <si>
    <t>AUD-066</t>
  </si>
  <si>
    <t>Correspondencia de fases · reglas y trazabilidad</t>
  </si>
  <si>
    <t>La fase del tratamiento puede diferir de la respuesta medida. Una ventana que cruza fases se conserva agrupada; no duplica evidencias ni valida un umbral para cada fase.</t>
  </si>
  <si>
    <t>VE — Germinación y emergencia</t>
  </si>
  <si>
    <t>BBCH_00_09 — Germinación y emergencia</t>
  </si>
  <si>
    <t>VE_VC — Emergencia y cotiledones</t>
  </si>
  <si>
    <t>Z00_09 — Germinación y emergencia</t>
  </si>
  <si>
    <t>V1_V6 — Desarrollo vegetativo temprano • V7_VT — Crecimiento vegetativo tardío y panojamiento/tasseling*</t>
  </si>
  <si>
    <t>BBCH_10_19 — Desarrollo de hojas • BBCH_20_29 — Macollamiento • parte de BBCH_30_39 — Elongación del tallo*</t>
  </si>
  <si>
    <t>V1_VN — Desarrollo de nudos vegetativos</t>
  </si>
  <si>
    <t>Z10_29 — Desarrollo foliar y macollamiento • Z30_39 — Elongación del tallo</t>
  </si>
  <si>
    <t>parte final de R1 — cuajado inicial*</t>
  </si>
  <si>
    <t>parte de BBCH_30_39 — Inicio de panícula* • BBCH_40_59 — Embuchamiento y emergencia de panícula</t>
  </si>
  <si>
    <t>R3 — Formación inicial de vainas • R4 — Vaina completa</t>
  </si>
  <si>
    <t>Z40_49 — Embuchamiento • Z50_59 — Espigamiento</t>
  </si>
  <si>
    <t>R1 — Emisión de estigmas, polinización*</t>
  </si>
  <si>
    <t>BBCH_60_69 — Floración / antesis</t>
  </si>
  <si>
    <t>R1_R2 — Floración</t>
  </si>
  <si>
    <t>Z60_69 — Floración / antesis</t>
  </si>
  <si>
    <t>R2 — Blister • R3 — Milk • R4_R5 — Dough–dent</t>
  </si>
  <si>
    <t>BBCH_70_79 — Desarrollo y llenado de grano</t>
  </si>
  <si>
    <t>R5 — Llenado de semilla • parte de R6_R7 — Semilla llena*</t>
  </si>
  <si>
    <t>Z70_89 — Desarrollo y llenado de grano</t>
  </si>
  <si>
    <t>R6 — Madurez fisiológica</t>
  </si>
  <si>
    <t>BBCH_80_99 — Maduración</t>
  </si>
  <si>
    <t>parte de R6_R7 — Inicio de maduración* • R8 — Madurez completa</t>
  </si>
  <si>
    <t>Z90_99 — Maduración</t>
  </si>
  <si>
    <t>Detalle por evidencia: compara la asignación registrada con la ventana del paper y revisa las advertencias. La auditoría conserva la decisión y el comentario originales.</t>
  </si>
  <si>
    <t>Código original</t>
  </si>
  <si>
    <t>Fase original</t>
  </si>
  <si>
    <t>Ventana / fase del paper</t>
  </si>
  <si>
    <t>Macrofase registrada</t>
  </si>
  <si>
    <t>Qué corroborar de la correspondencia</t>
  </si>
  <si>
    <t>Abrir paper</t>
  </si>
  <si>
    <t>Comentario original / verificación</t>
  </si>
  <si>
    <t>Corroborar ventana exacta; no extender un valor a toda la macrofase</t>
  </si>
  <si>
    <t>Ver auditoría</t>
  </si>
  <si>
    <t>Distinguir FLO de cuajado REP.</t>
  </si>
  <si>
    <t>El umbral nocturno se refiere a FLO; REP no queda demostrado por separado.</t>
  </si>
  <si>
    <t>Solo solapamiento VEG; inicio de panícula REP no confirmado.</t>
  </si>
  <si>
    <t>REP (booting–heading) no demostrada por esta fuente.</t>
  </si>
  <si>
    <t>Solapamiento FIL/MAT; no extender a todo BBCH 80–99.</t>
  </si>
  <si>
    <t>Estimación de temporada sin umbral específico EST.</t>
  </si>
  <si>
    <t>Falta respaldo específico para VEG.</t>
  </si>
  <si>
    <t>Falta respaldo específico para R3.</t>
  </si>
  <si>
    <t>Falta respaldo específico para R4.</t>
  </si>
  <si>
    <t>Solo se respalda FIL; MAT no acreditada.</t>
  </si>
  <si>
    <t>La exposición FLO/REP no coincide con R5 FIL.</t>
  </si>
  <si>
    <t>Falta respaldo específico para R8 MAT.</t>
  </si>
  <si>
    <t>Seedling stage no confirma específicamente germinación/emergencia.</t>
  </si>
  <si>
    <t>Seedling stage no confirma desarrollo foliar/macollamiento.</t>
  </si>
  <si>
    <t>Variable disponible en ERA5-Land</t>
  </si>
  <si>
    <t>Código para descargar</t>
  </si>
  <si>
    <t>Cómo se obtiene la variable</t>
  </si>
  <si>
    <t>Límite de equivalencia / uso</t>
  </si>
  <si>
    <t>Estado operativo de esta evidencia</t>
  </si>
  <si>
    <t>Fase que debe verificarse</t>
  </si>
  <si>
    <t>Regla utilizable / motivo de descarte</t>
  </si>
  <si>
    <t>Alternativa rastreable por cultivo y fase</t>
  </si>
  <si>
    <t>Qué debes corroborar en la fuente</t>
  </si>
  <si>
    <t>Pendiente · estadístico/duración</t>
  </si>
  <si>
    <t>No cerrar hasta corroborar definición del umbral y ventana temporal.</t>
  </si>
  <si>
    <t>EST: Auditoría fila 68</t>
  </si>
  <si>
    <t>Corroborar la ventana exacta antes de extender a toda la macrofase.</t>
  </si>
  <si>
    <t>Condicional · requiere suelo</t>
  </si>
  <si>
    <t>volumetric_soil_water_layer_1/2/3 (swvl1/2/3)</t>
  </si>
  <si>
    <t>Humedad volumétrica disponible; normalizar con FC/WP o curva de retención y profundidad.</t>
  </si>
  <si>
    <t>ERA5-Land no ofrece MPa, %FC, RSM, AD o FTSW directamente. No comparar números sin conversión.</t>
  </si>
  <si>
    <t>Condicional · falta parametrización</t>
  </si>
  <si>
    <t>No aplicar el valor a humedad ERA5-Land sin conversión documentada.</t>
  </si>
  <si>
    <t>VEG: Auditoría fila 69; Auditoría fila 70; Auditoría fila 71</t>
  </si>
  <si>
    <t>Tratamiento · no umbral de daño</t>
  </si>
  <si>
    <t>Puede reproducirse la exposición; no demuestra un punto de corte de daño.</t>
  </si>
  <si>
    <t>R1–R3 cruza FLO/REP/FIL; no asignar umbral independiente a REP.</t>
  </si>
  <si>
    <t>REP: Auditoría fila 89; Auditoría fila 8 | FLO: Auditoría fila 89</t>
  </si>
  <si>
    <t>REP no demostrada por separado.</t>
  </si>
  <si>
    <t>FIL: Auditoría fila 90</t>
  </si>
  <si>
    <t>Corregir interpretación</t>
  </si>
  <si>
    <t>15 m/s describe cambio de torque, no umbral crítico de acame.</t>
  </si>
  <si>
    <t>MAT: Auditoría fila 107; Auditoría fila 14</t>
  </si>
  <si>
    <t>Xue 2020: revisar sección torque; no usar &gt;15 m/s como regla MAT.</t>
  </si>
  <si>
    <t>EST: Auditoría fila 91</t>
  </si>
  <si>
    <t>No · sin variable equivalente</t>
  </si>
  <si>
    <t>Sin variable nativa de duración/profundidad de inundación</t>
  </si>
  <si>
    <t>Requiere modelo hidrológico o producto de inundación y validación.</t>
  </si>
  <si>
    <t>No reemplazar días anegados o cm de agua por precipitación.</t>
  </si>
  <si>
    <t>No calculable directamente</t>
  </si>
  <si>
    <t>Conservar evidencia; falta variable hidrológica equivalente.</t>
  </si>
  <si>
    <t>VEG: Auditoría fila 93; Auditoría fila 75</t>
  </si>
  <si>
    <t>Calculable · indicador regional</t>
  </si>
  <si>
    <t>daily_mean; respetar ventana y definición de Daily mean temperature &gt;= 33.0 °C for 1.0 consecutive day</t>
  </si>
  <si>
    <t>VEG: Auditoría fila 93; Auditoría fila 75 | REP: Auditoría fila 93; Auditoría fila 21; Auditoría fila 22</t>
  </si>
  <si>
    <t>Verificar transferencia regional, fase y estadístico; no tratar como pérdida causal.</t>
  </si>
  <si>
    <t>REP no confirmada.</t>
  </si>
  <si>
    <t>REP: Auditoría fila 93; Auditoría fila 21; Auditoría fila 22</t>
  </si>
  <si>
    <t>daily_mean; respetar ventana y definición de Daily mean temperature &lt;= 20.0 °C for 1.0 consecutive day</t>
  </si>
  <si>
    <t>Total diario desde datos horarios; respetar ventana y definición de Daily total precipitation &gt;= 25.0 mm/día for 1.0 consecutive day</t>
  </si>
  <si>
    <t>Embuche/espigado no demostrado.</t>
  </si>
  <si>
    <t>FLO: Auditoría fila 94; Auditoría fila 24; Auditoría fila 25</t>
  </si>
  <si>
    <t>daily_mean; respetar ventana y definición de Daily mean temperature &lt;= 17.0 °C for 1.0 consecutive day</t>
  </si>
  <si>
    <t>FIL: Auditoría fila 95; Auditoría fila 30; Auditoría fila 31</t>
  </si>
  <si>
    <t>No extender a todo BBCH80–99.</t>
  </si>
  <si>
    <t>MAT: Auditoría fila 92; Auditoría fila 32</t>
  </si>
  <si>
    <t>Sin umbral específico de fase</t>
  </si>
  <si>
    <t>Sin umbral específico EST.</t>
  </si>
  <si>
    <t>No usar como regla umbral de la macrofase.</t>
  </si>
  <si>
    <t>EST: Auditoría fila 76; Auditoría fila 34</t>
  </si>
  <si>
    <t>Parámetro cardinal · no daño</t>
  </si>
  <si>
    <t>Máximo cardinal de germinación no equivale a umbral agroclimático de daño.</t>
  </si>
  <si>
    <t>Sin umbral específico VEG.</t>
  </si>
  <si>
    <t>VEG: Auditoría fila 103; Auditoría fila 87</t>
  </si>
  <si>
    <t>FLO: Auditoría fila 79; Auditoría fila 80; Auditoría fila 104</t>
  </si>
  <si>
    <t>Sin umbral específico R3.</t>
  </si>
  <si>
    <t>REP: Auditoría fila 105; Auditoría fila 78</t>
  </si>
  <si>
    <t>Sin umbral específico R4.</t>
  </si>
  <si>
    <t>FIL: Auditoría fila 81; Auditoría fila 49; Auditoría fila 106</t>
  </si>
  <si>
    <t>Exposición corresponde a FLO/REP, no R5.</t>
  </si>
  <si>
    <t>MAT no acreditada.</t>
  </si>
  <si>
    <t>FIL: Auditoría fila 81; Auditoría fila 49; Auditoría fila 106 | MAT: Auditoría fila 81</t>
  </si>
  <si>
    <t>R8 MAT no acreditada.</t>
  </si>
  <si>
    <t>MAT: Auditoría fila 81</t>
  </si>
  <si>
    <t>Plántula no equivale a germinación.</t>
  </si>
  <si>
    <t>EST: Auditoría fila 82; Auditoría fila 83; Auditoría fila 54</t>
  </si>
  <si>
    <t>Corroborar desarrollo de plántula.</t>
  </si>
  <si>
    <t>VEG: Auditoría fila 96; Auditoría fila 97</t>
  </si>
  <si>
    <t>REP: Auditoría fila 98; Auditoría fila 99</t>
  </si>
  <si>
    <t>FLO: Auditoría fila 100</t>
  </si>
  <si>
    <t>FIL: Auditoría fila 101; Auditoría fila 102</t>
  </si>
  <si>
    <t>Tratamiento, no umbral estimado.</t>
  </si>
  <si>
    <t>MAT: Auditoría fila 108; Auditoría fila 66</t>
  </si>
  <si>
    <t>REP: Auditoría fila 89; Auditoría fila 8</t>
  </si>
  <si>
    <t>Calculable · corroborado en Li2025b</t>
  </si>
  <si>
    <t>Tmax diaria ≥34 °C; contar días/rachas ≥2 días en la ventana publicada.</t>
  </si>
  <si>
    <t>Li2025b §2.3.1, PDF p.4 confirma valores; 2 días es selección de muestra, no daño mínimo universal.</t>
  </si>
  <si>
    <t>Tmax diaria ≥34.1 °C; contar días/rachas ≥2 días en la ventana publicada.</t>
  </si>
  <si>
    <t>EST: Auditoría fila 68 | VEG: Auditoría fila 69; Auditoría fila 70; Auditoría fila 71</t>
  </si>
  <si>
    <t>Tmax diaria ≥34.6 °C; contar días/rachas ≥2 días en la ventana publicada.</t>
  </si>
  <si>
    <t>Tmax diaria ≥34.8 °C; contar días/rachas ≥2 días en la ventana publicada.</t>
  </si>
  <si>
    <t>VEG: Auditoría fila 69; Auditoría fila 70; Auditoría fila 71 | FLO: Auditoría fila 89</t>
  </si>
  <si>
    <t>No usar severidad generalizada</t>
  </si>
  <si>
    <t>Usar tabla por fase; no aplicar grados con un corte común a todas las ventanas.</t>
  </si>
  <si>
    <t>EST: Auditoría fila 68 | VEG: Auditoría fila 69; Auditoría fila 70; Auditoría fila 71 | REP: Auditoría fila 89; Auditoría fila 8 | FLO: Auditoría fila 89 | FIL: Auditoría fila 90</t>
  </si>
  <si>
    <t>Reconciliar duraciones de resumen, texto y tabla2 de Li2025b.</t>
  </si>
  <si>
    <t>daily_max; respetar ventana y definición de 36 °C</t>
  </si>
  <si>
    <t>Pendiente · referencia secundaria</t>
  </si>
  <si>
    <t>Temperatura del suelo disponible; confirmar fuente primaria, horario y profundidad del valor10°C.</t>
  </si>
  <si>
    <t>Frío en floración; duración/estadístico pendientes.</t>
  </si>
  <si>
    <t>Calculable · ventana compartida</t>
  </si>
  <si>
    <t>Sumar precipitación en toda R6–R8; clasificar &gt;100 mm; no 100 mm por fase.</t>
  </si>
  <si>
    <t>Clasificación ambiental asociada a calidad de semilla; no umbral universal de pérdida.</t>
  </si>
  <si>
    <t>VEG: Auditoría fila 96; Auditoría fila 97 | REP: Auditoría fila 98; Auditoría fila 99</t>
  </si>
  <si>
    <t>FLO: Auditoría fila 89</t>
  </si>
  <si>
    <t>FLO / REP / FIL</t>
  </si>
  <si>
    <t>R1–R3: floración hasta grano lechoso</t>
  </si>
  <si>
    <t>Calor</t>
  </si>
  <si>
    <t>Tmax ≥33.7 °C</t>
  </si>
  <si>
    <t>Indicador de exposición publicado</t>
  </si>
  <si>
    <t>Exposición a calor</t>
  </si>
  <si>
    <t>No se convierte a pérdida de rendimiento</t>
  </si>
  <si>
    <t>Li et al. (2025b)</t>
  </si>
  <si>
    <t>§2.3.1–2.3.2; PDF p.4</t>
  </si>
  <si>
    <t>Síntesis propia; consultar la ubicación indicada</t>
  </si>
  <si>
    <t>No aplicar por separado a REP o FIL sin fechas de R1–R3. Calibración regional HHH, China.</t>
  </si>
  <si>
    <t>Texto editorial / evidencia previa</t>
  </si>
  <si>
    <t>Abrir fuente</t>
  </si>
  <si>
    <t>COB-089</t>
  </si>
  <si>
    <t>Sin comentario del revisor; evidencia añadida 06/10/2026</t>
  </si>
  <si>
    <t>Rachas ≥2 días: definición de muestra</t>
  </si>
  <si>
    <t>https://doi.org/10.3390/agronomy15071545</t>
  </si>
  <si>
    <t>Calculable; ventana compartida</t>
  </si>
  <si>
    <t>Texto web / PDF previo</t>
  </si>
  <si>
    <t>2026-10-06</t>
  </si>
  <si>
    <t>Fuente LI; evidencia por ventana, no paper adicional</t>
  </si>
  <si>
    <t>Tmax diaria de t2m ≥33.7 °C; contar días y rachas ≥2 días dentro de R1–R3.</t>
  </si>
  <si>
    <t>REP: Auditoría fila 89; Auditoría fila 8 | FLO: Auditoría fila 89 | FIL: Auditoría fila 90</t>
  </si>
  <si>
    <t>R3–R6: grano lechoso hasta madurez fisiológica</t>
  </si>
  <si>
    <t>Tmax ≥32.7 °C</t>
  </si>
  <si>
    <t>No extender después de R6; los grados de severidad no se asignan con una duración común a todas las fases.</t>
  </si>
  <si>
    <t>COB-090</t>
  </si>
  <si>
    <t>Calculable; validar transferencia</t>
  </si>
  <si>
    <t>Tmax diaria de t2m ≥32.7 °C; contar días y rachas ≥2 días en R3–R6.</t>
  </si>
  <si>
    <t>Emergencia y establecimiento de plántulas</t>
  </si>
  <si>
    <t>Tmedia diaria &gt;35 °C</t>
  </si>
  <si>
    <t>Referencia técnica fisiológica</t>
  </si>
  <si>
    <t>Yoshida (1981), Fundamentals of Rice Crop Science</t>
  </si>
  <si>
    <t>Tabla 2.4, p.72; PDF p.80</t>
  </si>
  <si>
    <t>Límite crítico de referencia. No extrapolar a germinación ni convertir un día en daño demostrado.</t>
  </si>
  <si>
    <t>Abrir PDF descargado</t>
  </si>
  <si>
    <t>COB-091</t>
  </si>
  <si>
    <t>No especificada</t>
  </si>
  <si>
    <t>https://books.irri.org/9711040522_content.pdf</t>
  </si>
  <si>
    <t>Calculable; duración pendiente</t>
  </si>
  <si>
    <t>PDF descargado</t>
  </si>
  <si>
    <t>Fuente YOS; evidencia por ventana, no paper adicional</t>
  </si>
  <si>
    <t>Contar días de t2m media diaria &gt;35 °C durante emergencia/establecimiento.</t>
  </si>
  <si>
    <t>MAT / FIL</t>
  </si>
  <si>
    <t>Ripening: maduración del grano</t>
  </si>
  <si>
    <t>Tmedia diaria &gt;30 °C</t>
  </si>
  <si>
    <t>Delimitar inicio y fin de ripening; no extender al grano seco después de madurez.</t>
  </si>
  <si>
    <t>COB-092</t>
  </si>
  <si>
    <t>Calculable; fase/duración pendientes</t>
  </si>
  <si>
    <t>Contar días de t2m media diaria &gt;30 °C en ripening.</t>
  </si>
  <si>
    <t>FIL: Auditoría fila 95; Auditoría fila 30; Auditoría fila 31 | MAT: Auditoría fila 92; Auditoría fila 32</t>
  </si>
  <si>
    <t>Encañado–embuche (jointing–booting)</t>
  </si>
  <si>
    <t>Tmedia diaria ≥33 °C</t>
  </si>
  <si>
    <t>Sun et al. (2025)</t>
  </si>
  <si>
    <t>§2.3.1–2.3.2</t>
  </si>
  <si>
    <t>Indicador regional para arroz de una cosecha del sur de China; ventana cruza VEG/REP.</t>
  </si>
  <si>
    <t>COB-093</t>
  </si>
  <si>
    <t>≥1 día</t>
  </si>
  <si>
    <t>https://doi.org/10.5194/esd-16-1971-2025</t>
  </si>
  <si>
    <t>Fuente SUN; evidencia por ventana, no paper adicional</t>
  </si>
  <si>
    <t>Contar días con media diaria t2m ≥33 °C en jointing–booting.</t>
  </si>
  <si>
    <t>Espigado–floración (heading–flowering)</t>
  </si>
  <si>
    <t>Arroz de una cosecha; alinear fechas de espigado/floración, no toda REP.</t>
  </si>
  <si>
    <t>COB-094</t>
  </si>
  <si>
    <t>Contar días con media diaria t2m ≥33 °C en heading–flowering.</t>
  </si>
  <si>
    <t>Llenado: día 11 tras espigado hasta madurez</t>
  </si>
  <si>
    <t>Arroz de una cosecha; no extender después de madurez fisiológica.</t>
  </si>
  <si>
    <t>COB-095</t>
  </si>
  <si>
    <t>Contar días con media diaria t2m ≥33 °C en la ventana publicada.</t>
  </si>
  <si>
    <t>Macollamiento</t>
  </si>
  <si>
    <t>Helada</t>
  </si>
  <si>
    <t>≤12 °F = -11.111 °C</t>
  </si>
  <si>
    <t>Guía técnica de daño por helada</t>
  </si>
  <si>
    <t>Exposición a helada</t>
  </si>
  <si>
    <t>Shroyer, Mikesell y Paulsen (1995), K-State C646</t>
  </si>
  <si>
    <t>Tabla 1, PDF p.2; exposición PDF p.3</t>
  </si>
  <si>
    <t>Guía para trigo de invierno en Kansas. t2m representa aire a 2 m; no tejido. Evaluar sensibilidad al sesgo local.</t>
  </si>
  <si>
    <t>COB-096</t>
  </si>
  <si>
    <t>2 horas</t>
  </si>
  <si>
    <t>https://bookstore.ksre.ksu.edu/pubs/c646.pdf</t>
  </si>
  <si>
    <t>Calculable; validar temperatura del cultivo</t>
  </si>
  <si>
    <t>Fuente SHR; evidencia por ventana, no paper adicional</t>
  </si>
  <si>
    <t>Buscar intervalos de 2 horas bajo -11.111 °C con t2m horaria; declarar aproximación temporal y espacial.</t>
  </si>
  <si>
    <t>Encañado (jointing)</t>
  </si>
  <si>
    <t>≤24 °F = -4.444 °C</t>
  </si>
  <si>
    <t>COB-097</t>
  </si>
  <si>
    <t>Buscar intervalos de 2 horas bajo -4.444 °C con t2m horaria; declarar aproximación temporal y espacial.</t>
  </si>
  <si>
    <t>Embuche (boot)</t>
  </si>
  <si>
    <t>≤28 °F = -2.222 °C</t>
  </si>
  <si>
    <t>COB-098</t>
  </si>
  <si>
    <t>Buscar intervalos de 2 horas bajo -2.222 °C con t2m horaria; declarar aproximación temporal y espacial.</t>
  </si>
  <si>
    <t>Espigado (heading)</t>
  </si>
  <si>
    <t>≤30 °F = -1.111 °C</t>
  </si>
  <si>
    <t>COB-099</t>
  </si>
  <si>
    <t>Buscar intervalos de 2 horas bajo -1.111 °C con t2m horaria; declarar aproximación temporal y espacial.</t>
  </si>
  <si>
    <t>Floración</t>
  </si>
  <si>
    <t>COB-100</t>
  </si>
  <si>
    <t>Grano lechoso (milk)</t>
  </si>
  <si>
    <t>COB-101</t>
  </si>
  <si>
    <t>Grano pastoso (dough)</t>
  </si>
  <si>
    <t>COB-102</t>
  </si>
  <si>
    <t>Vegetativa</t>
  </si>
  <si>
    <t>Aire diurno &gt;90 °F =32.222 °C</t>
  </si>
  <si>
    <t>Orientación técnica; no paper primario</t>
  </si>
  <si>
    <t>Das y Ortel (2026), Science for Success</t>
  </si>
  <si>
    <t>Tabla Growth Stage / Approximate Daytime Heat Threshold</t>
  </si>
  <si>
    <t>Orientación técnica aproximada: Tmax es proxy, no temperatura sostenida; no es un umbral calibrado por fase en un ensayo.</t>
  </si>
  <si>
    <t>COB-103</t>
  </si>
  <si>
    <t>No cuantificada; diurna/sostenida</t>
  </si>
  <si>
    <t>https://soybeanscienceforsuccess.org/2026/09/29/heat-stress-in-soybean/</t>
  </si>
  <si>
    <t>Candidata; regla incompleta</t>
  </si>
  <si>
    <t>Fuente SOY; evidencia por ventana, no paper adicional</t>
  </si>
  <si>
    <t>Contar días con Tmax &gt;32.222 °C como aproximación de exposición diurna.</t>
  </si>
  <si>
    <t>R1–R2, floración</t>
  </si>
  <si>
    <t>Temperatura diurna sostenida &gt;~95 °F =35 °C</t>
  </si>
  <si>
    <t>COB-104</t>
  </si>
  <si>
    <t>Explorar días Tmax &gt;35 °C; no declarar evento sin duración de temperatura sostenida.</t>
  </si>
  <si>
    <t>R3–R4, formación de vainas</t>
  </si>
  <si>
    <t>Rango diurno &gt;~90–95 °F =32.222–35 °C</t>
  </si>
  <si>
    <t>COB-105</t>
  </si>
  <si>
    <t>Evaluar sensibilidad con Tmax &gt;32.222 y &gt;35 °C; conservar ambos escenarios.</t>
  </si>
  <si>
    <t>R5–R6, llenado de semillas</t>
  </si>
  <si>
    <t>Rango diurno &gt;~86–93 °F =30–33.889 °C</t>
  </si>
  <si>
    <t>COB-106</t>
  </si>
  <si>
    <t>Evaluar sensibilidad con Tmax &gt;30 y &gt;33.889 °C; conservar ambos escenarios.</t>
  </si>
  <si>
    <t>MAT por corroborar</t>
  </si>
  <si>
    <t>Cultivo desarrollado; macrofase no especificada en Tabla 8</t>
  </si>
  <si>
    <t>Viento / acame</t>
  </si>
  <si>
    <t>Viento medio a 10 m: 11.5 m/s</t>
  </si>
  <si>
    <t>Modelo mecánico; escenario, no validación por fase</t>
  </si>
  <si>
    <t>Exposición a viento / acame</t>
  </si>
  <si>
    <t>Joseph et al. (2020)</t>
  </si>
  <si>
    <t>Tabla 8, PDF pp.30–31; modelo §2, PDF p.7</t>
  </si>
  <si>
    <t>Umbral mecánico modelado; no universal. No cierra MAT hasta confirmar fase y compatibilidad de viento horario; trigo remite a Baker 2014.</t>
  </si>
  <si>
    <t>COB-107</t>
  </si>
  <si>
    <t>Promedio horario en el modelo</t>
  </si>
  <si>
    <t>https://doi.org/10.1016/j.jweia.2020.104169</t>
  </si>
  <si>
    <t>Candidata; fase sin corroborar</t>
  </si>
  <si>
    <t>Fuente JOS; evidencia por ventana, no paper adicional</t>
  </si>
  <si>
    <t>Comparar velocidad media horaria a 10 m con 11.5 m/s solo como escenario del modelo.</t>
  </si>
  <si>
    <t>Viento medio a 10 m: 16.5 m/s</t>
  </si>
  <si>
    <t>COB-108</t>
  </si>
  <si>
    <t>Comparar velocidad media horaria a 10 m con 16.5 m/s solo como escenario del modelo.</t>
  </si>
  <si>
    <t>Auditoría fila 89</t>
  </si>
  <si>
    <t>Auditoría fila 90</t>
  </si>
  <si>
    <t>Auditoría fila 91</t>
  </si>
  <si>
    <t>Lluvia / calidad de semilla</t>
  </si>
  <si>
    <t>Auditoría fila 100</t>
  </si>
  <si>
    <t>COB-89</t>
  </si>
  <si>
    <t>COB-90</t>
  </si>
  <si>
    <t>COB-91</t>
  </si>
  <si>
    <t>COB-92</t>
  </si>
  <si>
    <t>Auditoría fila 92</t>
  </si>
  <si>
    <t>COB-93</t>
  </si>
  <si>
    <t>Auditoría fila 93</t>
  </si>
  <si>
    <t>COB-94</t>
  </si>
  <si>
    <t>Auditoría fila 94</t>
  </si>
  <si>
    <t>COB-95</t>
  </si>
  <si>
    <t>Auditoría fila 95</t>
  </si>
  <si>
    <t>COB-96</t>
  </si>
  <si>
    <t>Auditoría fila 96</t>
  </si>
  <si>
    <t>COB-97</t>
  </si>
  <si>
    <t>Auditoría fila 97</t>
  </si>
  <si>
    <t>COB-98</t>
  </si>
  <si>
    <t>Auditoría fila 98</t>
  </si>
  <si>
    <t>COB-99</t>
  </si>
  <si>
    <t>Auditoría fila 99</t>
  </si>
  <si>
    <t>Auditoría fila 101</t>
  </si>
  <si>
    <t>Auditoría fila 102</t>
  </si>
  <si>
    <t>Auditoría fila 103</t>
  </si>
  <si>
    <t>Auditoría fila 104</t>
  </si>
  <si>
    <t>Auditoría fila 105</t>
  </si>
  <si>
    <t>Auditoría fila 106</t>
  </si>
  <si>
    <t>Auditoría fila 107</t>
  </si>
  <si>
    <t>Auditoría fila 108</t>
  </si>
  <si>
    <t>Duration and intensity are comprehensive indicators for evaluating heat damage in summer maize [ 2,36]. Previous studies have identified different growth stages of summer maize and their corresponding heat stress thresholds: the sowing-to-emergence stage (early to mid-June), emergence-to-jointing stage (late June to mid-July), jointing-to-tasseling stage (mid to late July), tasseling-to-flowering stage (early August), flowering-to-milk-ripening stage (mid to late August), and milk-ripening-to-physiological-maturity stage (early to late September). The heat damage thresholds for these respective growth stages were determined as Td max ≥ 34 ◦C, 34.1 ◦C, 34.6 ◦C, 34.8 ◦C, 33.7 ◦C, and 32.7 ◦C [9,37]. To determine the comprehensive heat damage indicators, this study reconstructs the consecutive days with Td max exceeding the heat damage threshold based on the summer maize heat damage threshold and establishes a sample set of heat damage indicators of different grades.
The K-means clustering algorithm, as an unsupervised learning method, partitions data into distinct clusters based on feature similarity, thereby revealing underlying distribution patterns more clearly [ 38,39]. Due to its simplicity, computational efficiency, and effectiveness in handling large datasets with numerical attributes, K-means has been widely applied in the classification of precipitation regimes and in constructing disaster severity indicators across multiple studies [ 36,40–42]. In this study, we focused on heat damage events lasting two days or more, which were temporally aggregated according to different growth stages (V0, VE, V6, VT, R1, R3, and R6). Based on the duration of heat damage, one-dimensional clustering was performed, using K-means clustering with k = 3 to classify all samples into three initial categories, including mild, moderate, and severe. These advantages made K-means a suitable choice for identifying heat damage severity grades from continuous meteorological variables in our analysis.</t>
  </si>
  <si>
    <t>Li et al.2025b; PDF p.4, §2.3.1 párrafo completo y §2.3.2 párrafo completo. Fuente: work_fuentes/02_agronomy15071545.pdf</t>
  </si>
  <si>
    <t>Dos párrafos literales completos. Solo se normalizaron saltos de línea y ligaduras del PDF; no traducción, resumen ni supresión de oraciones. Las fórmulas conservan el orden de caracteres extraído del PDF. CC BY4.0.</t>
  </si>
  <si>
    <t>Seedling emergence and establishment
35
Refers to daily mean temperature except for germination.</t>
  </si>
  <si>
    <t>Yoshida1981; p.72 (PDF p.80), Tabla2.4; fila Seedling emergence and establishment, columna High (°C), y nota b.</t>
  </si>
  <si>
    <t>Extractos literales de tabla y nota, no párrafo. El valor35 está en la columna High; no existe en esta fuente un párrafo con el umbral35°C para esa fila.</t>
  </si>
  <si>
    <t>Ripening
30</t>
  </si>
  <si>
    <t>Yoshida1981; p.72 (PDF p.80), Tabla2.4; fila Ripening, columna High (°C). Estadístico: nota b de la misma tabla.</t>
  </si>
  <si>
    <t>Transcripción literal de la etiqueta de fila y valor de tabla, no párrafo. El30 es temperatura crítica alta; el operador&gt; de la regla es una decisión de cálculo, no texto literal de la tabla.</t>
  </si>
  <si>
    <t>Three growth stages that were most susceptible to extreme stress were considered in this study: jointing–booting stage (#1), heading–flowering stage (#2) and grain filling stage (#3). The jointing–booting stage refers to the period from the first day of jointing to the last day before heading. The heading–flowering stage refers to the period from heading to flowering and generally lasts for 10 d. The grain filling stage refers to the period from the 11th day after heading to maturity. The exact dates of the different stages were obtained from phenological records for each year and station.
Here, severity (Haqiqi et al., 2021) was used to measure the stress imposed by individual extreme event. It was de-fined as the cumulative deviation from the threshold value of each stressor. Following this concept, heat stress (H) severitySH,g,t at a given growth stage (g) in a given year (t) that meets the condition can be computed by the cumulative de-viation of mean daily temperature ( T ) above its threshold (Tbase) for all the days ( i) within this stage. We used 33 °C as the base temperature (Table 1) in Eq. (1).</t>
  </si>
  <si>
    <t>Sun et al.2025; p.1974 (PDF p.4): §2.3.1 primer párrafo y §2.3.2 primer párrafo completo. Duración≥1día: Tabla1, p.1975 (PDF p.5).</t>
  </si>
  <si>
    <t>Dos párrafos literales completos del PDF; se normalizaron saltos y ligaduras. La duración se encuentra en Tabla1, no se añadió al párrafo. CC BY4.0.</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</si>
  <si>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Tillering
12 F (-11 C)</t>
  </si>
  <si>
    <t>Shroyer, Mikesell y Paulsen1995; PDF p.3, §Temperatures that Cause Spring Freeze Injury, último párrafo completo; PDF p.2, Tabla1, fila Tillering, columna Approximate injurious temperature (two hours).</t>
  </si>
  <si>
    <t>Párrafo completo literal y celdas literales de Tabla1, separados por salto de párrafo. Se conserva el redondeo°C original; la conversión de°F en la regla se muestra aparte. Reproducción educativa autorizada en PDF p.12; crédito: James P.Shroyer, Merrel E.Mikesell, Gary M.Paulsen, Spring Freeze Injury to Kansas Wheat, Kansas State University, March1995.</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</si>
  <si>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Jointing
24 F (-4 C)</t>
  </si>
  <si>
    <t>Shroyer, Mikesell y Paulsen1995; PDF p.3, §Temperatures that Cause Spring Freeze Injury, último párrafo completo; PDF p.2, Tabla1, fila Jointing,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</si>
  <si>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Boot
28 F (-2 C)</t>
  </si>
  <si>
    <t>Shroyer, Mikesell y Paulsen1995; PDF p.3, §Temperatures that Cause Spring Freeze Injury, último párrafo completo; PDF p.2, Tabla1, fila Boot,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</si>
  <si>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Heading
30 F (-1 C)</t>
  </si>
  <si>
    <t>Shroyer, Mikesell y Paulsen1995; PDF p.3, §Temperatures that Cause Spring Freeze Injury, último párrafo completo; PDF p.2, Tabla1, fila Heading,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</si>
  <si>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Flowering
30 F (-1 C)</t>
  </si>
  <si>
    <t>Shroyer, Mikesell y Paulsen1995; PDF p.3, §Temperatures that Cause Spring Freeze Injury, último párrafo completo; PDF p.2, Tabla1, fila Flowering,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</si>
  <si>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Milk
28 F (-2 C)</t>
  </si>
  <si>
    <t>Shroyer, Mikesell y Paulsen1995; PDF p.3, §Temperatures that Cause Spring Freeze Injury, último párrafo completo; PDF p.2, Tabla1, fila Milk,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</si>
  <si>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Dough
28 F (-2 C)</t>
  </si>
  <si>
    <t>Shroyer, Mikesell y Paulsen1995; PDF p.3, §Temperatures that Cause Spring Freeze Injury, último párrafo completo; PDF p.2, Tabla1, fila Dough, columna Approximate injurious temperature (two hours).</t>
  </si>
  <si>
    <t>(air temp &gt; 90°F)</t>
  </si>
  <si>
    <t>Das y Ortel2026; HTML, §What This Means for Yield; tabla Growth Stage / Approximate Daytime Heat Threshold, fila Vegetative, columna Approximate Daytime Heat Threshold. https://soybeanscienceforsuccess.org/2026/09/29/heat-stress-in-soybean/</t>
  </si>
  <si>
    <t>Extracto literal de celda de tabla web, no párrafo ni paper. En103 se copia solo el paréntesis de temperatura del aire. Fuente contrastada con HTML editorial; conservar rango y aproximación originales.</t>
  </si>
  <si>
    <t>Sustained temps above ~95°F</t>
  </si>
  <si>
    <t>Das y Ortel2026; HTML, §What This Means for Yield; tabla Growth Stage / Approximate Daytime Heat Threshold, fila R1- R2 (flowering), columna Approximate Daytime Heat Threshold. https://soybeanscienceforsuccess.org/2026/09/29/heat-stress-in-soybean/</t>
  </si>
  <si>
    <t>Above ~90–95°F, worse with dry soil</t>
  </si>
  <si>
    <t>Das y Ortel2026; HTML, §What This Means for Yield; tabla Growth Stage / Approximate Daytime Heat Threshold, fila R3- R4 (pod set), columna Approximate Daytime Heat Threshold. https://soybeanscienceforsuccess.org/2026/09/29/heat-stress-in-soybean/</t>
  </si>
  <si>
    <t>Above ~86–93°F during the day; elevated night temps</t>
  </si>
  <si>
    <t>Das y Ortel2026; HTML, §What This Means for Yield; tabla Growth Stage / Approximate Daytime Heat Threshold, fila R5-R6 (seed fill), columna Approximate Daytime Heat Threshold. https://soybeanscienceforsuccess.org/2026/09/29/heat-stress-in-soybean/</t>
  </si>
  <si>
    <t>10m wind speed
(m/s)
11.5</t>
  </si>
  <si>
    <t>Joseph et al.2020; Tabla8, encabezados PDF p.30 y continuación PDF p.31; fila10m wind speed (m/s), columna Maize.</t>
  </si>
  <si>
    <t>Transcripción literal de etiqueta de fila, unidad y valor de tabla; no párrafo. No afirma que el modelo corresponda a MAT ni que el valor sea universal.</t>
  </si>
  <si>
    <t>10m wind speed
(m/s)
16.5</t>
  </si>
  <si>
    <t>Joseph et al.2020; Tabla8, encabezados PDF p.30 y continuación PDF p.31; fila10m wind speed (m/s), columna Wheat (Baker et al 2014).</t>
  </si>
  <si>
    <t>Una amenaza priorizada por cultivo y fase</t>
  </si>
  <si>
    <t>Tmax ≠ media diaria ≠ Tmin ≠ nocturna. Nocturna y diurna requieren las horas y el estadístico de la fuente.</t>
  </si>
  <si>
    <t>La auditoría conserva todas las fuentes, citas y comentarios. R guarda la ventana original; S muestra una sola fase de trabajo.</t>
  </si>
  <si>
    <t>Fase única</t>
  </si>
  <si>
    <t>Amenaza priorizada</t>
  </si>
  <si>
    <t>Variable y estadístico exactos</t>
  </si>
  <si>
    <t>Umbral / valor de referencia</t>
  </si>
  <si>
    <t>Duración</t>
  </si>
  <si>
    <t>Cómo contar eventos</t>
  </si>
  <si>
    <t>Estado de la regla</t>
  </si>
  <si>
    <t>Fuente: abrir</t>
  </si>
  <si>
    <t>Ver evidencia y cita literal</t>
  </si>
  <si>
    <t>Tmax diaria del aire</t>
  </si>
  <si>
    <t>≥34°C</t>
  </si>
  <si>
    <t>≥2d</t>
  </si>
  <si>
    <t>Racha continua≥2d =1evento</t>
  </si>
  <si>
    <t>Validar transferencia regional; ventana siembra–emergencia.</t>
  </si>
  <si>
    <t>Auditoría fila68</t>
  </si>
  <si>
    <t>≥34.6°C</t>
  </si>
  <si>
    <t>Rachas≥2d durante V6–VT</t>
  </si>
  <si>
    <t>Auditoría fila70</t>
  </si>
  <si>
    <t>PENDIENTE</t>
  </si>
  <si>
    <t>Auditoría fila89</t>
  </si>
  <si>
    <t>≥33.7°C, ventana amplia</t>
  </si>
  <si>
    <t>≥2d en ventana fuente</t>
  </si>
  <si>
    <t>≥32.7°C</t>
  </si>
  <si>
    <t>Rachas≥2d durante R3–R6</t>
  </si>
  <si>
    <t>Auditoría fila90</t>
  </si>
  <si>
    <t>Velocidad del viento a10m</t>
  </si>
  <si>
    <t>11.5m/s, escenario modelado</t>
  </si>
  <si>
    <t>Promedio horario del modelo</t>
  </si>
  <si>
    <t>No contar como acame validado todavía</t>
  </si>
  <si>
    <t>Confirmar aplicación a MAT y compatibilidad del promedio; viento sigue incluido.</t>
  </si>
  <si>
    <t>Auditoría fila107</t>
  </si>
  <si>
    <t>Tmedia diaria del aire</t>
  </si>
  <si>
    <t>&gt;35°C</t>
  </si>
  <si>
    <t>Auditoría fila91</t>
  </si>
  <si>
    <t>≥3d, definición de proceso</t>
  </si>
  <si>
    <t>Rachas≥3d en macollamiento–encañado</t>
  </si>
  <si>
    <t>Auditoría fila75</t>
  </si>
  <si>
    <t>≥33°C</t>
  </si>
  <si>
    <t>≥1d</t>
  </si>
  <si>
    <t>Días de excedencia; agrupar consecutivos para episodios declarando criterio</t>
  </si>
  <si>
    <t>Auditoría fila93</t>
  </si>
  <si>
    <t>Días de excedencia; racha continua según criterio declarado</t>
  </si>
  <si>
    <t>Arroz de una cosecha; ventana espigado–floración y transferencia regional.</t>
  </si>
  <si>
    <t>Auditoría fila94</t>
  </si>
  <si>
    <t>Ventana desde día11tras espigado hasta madurez; transferencia regional.</t>
  </si>
  <si>
    <t>Auditoría fila95</t>
  </si>
  <si>
    <t>&gt;30°C</t>
  </si>
  <si>
    <t>Auditoría fila92</t>
  </si>
  <si>
    <t>Frío del suelo</t>
  </si>
  <si>
    <t>Temperatura del suelo; horario pendiente</t>
  </si>
  <si>
    <t>10°C, referencia por confirmar</t>
  </si>
  <si>
    <t>No cerrar evento sin fuente primaria y estadístico</t>
  </si>
  <si>
    <t>stl1 es capa0–7cm; confirmar profundidad y duración. No es Tmin del aire.</t>
  </si>
  <si>
    <t>Auditoría fila76</t>
  </si>
  <si>
    <t>Temperatura diurna; NO Tmax confirmada</t>
  </si>
  <si>
    <t>&gt;90°F, guía aproximada</t>
  </si>
  <si>
    <t>No cuantificada</t>
  </si>
  <si>
    <t>No contar con Tmax como sustituto automático</t>
  </si>
  <si>
    <t>Falta estadístico diurno y duración; guía, no umbral experimental calibrado.</t>
  </si>
  <si>
    <t>Auditoría fila103</t>
  </si>
  <si>
    <t>Temperatura diurna; estadístico pendiente</t>
  </si>
  <si>
    <t>Rango aproximado90–95°F</t>
  </si>
  <si>
    <t>No elegir un único corte del rango sin respaldo</t>
  </si>
  <si>
    <t>La guía no cierra un evento meteorológico único en formación de vainas.</t>
  </si>
  <si>
    <t>Auditoría fila105</t>
  </si>
  <si>
    <t>Frío</t>
  </si>
  <si>
    <t>Temperatura del aire; estadístico pendiente</t>
  </si>
  <si>
    <t>&lt;15°C para cultivar tolerante</t>
  </si>
  <si>
    <t>No especificada en resumen</t>
  </si>
  <si>
    <t>No sustituir por Tmin ni media sin método del paper</t>
  </si>
  <si>
    <t>Existe también18°C para susceptible; seleccionar según cultivar y método.</t>
  </si>
  <si>
    <t>Auditoría fila79</t>
  </si>
  <si>
    <t>Precipitación acumulada de ventana</t>
  </si>
  <si>
    <t>&gt;100mm durante R6–R8</t>
  </si>
  <si>
    <t>Ventana completa R6–R8</t>
  </si>
  <si>
    <t>Auditoría fila81</t>
  </si>
  <si>
    <t>Temperatura controlada; estadístico meteorológico pendiente</t>
  </si>
  <si>
    <t>30/35°C, tratamientos</t>
  </si>
  <si>
    <t>8d, tratamiento</t>
  </si>
  <si>
    <t>No declarar un umbral climático a partir de estos tratamientos</t>
  </si>
  <si>
    <t>Falta fuente que estime un corte de daño para germinación/emergencia.</t>
  </si>
  <si>
    <t>Auditoría fila82</t>
  </si>
  <si>
    <t>Temperatura horaria del aire, proxy de campo</t>
  </si>
  <si>
    <t>≤24°F (−4.444°C)</t>
  </si>
  <si>
    <t>2h</t>
  </si>
  <si>
    <t>Buscar intervalos de2h; Tmin diaria no permite medir duración</t>
  </si>
  <si>
    <t>Auditoría fila97</t>
  </si>
  <si>
    <t>≤30°F (−1.111°C)</t>
  </si>
  <si>
    <t>Buscar intervalos de2h bajo el corte</t>
  </si>
  <si>
    <t>Auditoría fila99</t>
  </si>
  <si>
    <t>Validar aire2m respecto a temperatura real de campo y transferencia de Kansas.</t>
  </si>
  <si>
    <t>Auditoría fila100</t>
  </si>
  <si>
    <t>≤28°F (−2.222°C)</t>
  </si>
  <si>
    <t>Buscar intervalos de2h; corresponde a milk/dough</t>
  </si>
  <si>
    <t>Auditoría fila101</t>
  </si>
  <si>
    <t>16.5m/s, escenario modelado</t>
  </si>
  <si>
    <t>No contar acame validado todavía</t>
  </si>
  <si>
    <t>Fase y promedio pendientes; valor de trigo remite a Baker2014.</t>
  </si>
  <si>
    <t>Auditoría fila108</t>
  </si>
  <si>
    <t>Temperatura del suelo durante enfriamiento</t>
  </si>
  <si>
    <t>Proxy de profundidad · temperatura horaria del suelo</t>
  </si>
  <si>
    <t>soil_temperature_level_1 (stl1,0–7cm)</t>
  </si>
  <si>
    <t>K−273.15; usar serie horaria de suelo y duración del tratamiento; confirmar profundidad del ensayo.</t>
  </si>
  <si>
    <t>El dato original era enfriamiento del suelo. Corregido: NO temperatura mínima del aire.</t>
  </si>
  <si>
    <t>Temperaturas controladas diurna y nocturna</t>
  </si>
  <si>
    <t>Sin equivalencia directa · régimen día/noche de cámara</t>
  </si>
  <si>
    <t>2m_temperature (horaria), solo aproximación</t>
  </si>
  <si>
    <t>Separar horas de luz y oscuridad del ensayo; conservar ambos valores. No mapear automáticamente a Tmax/Tmin.</t>
  </si>
  <si>
    <t>Los dos valores son regímenes experimentales; no son automáticamente extremos diarios de campo.</t>
  </si>
  <si>
    <t>Temperatura diurna del aire; estadístico por confirmar</t>
  </si>
  <si>
    <t>Pendiente · diurna, NO Tmax automática</t>
  </si>
  <si>
    <t>2m_temperature (horaria)</t>
  </si>
  <si>
    <t>Seleccionar las horas diurnas definidas por la fuente; confirmar media, máximo o tratamiento sostenido. No elegir daily_max por defecto.</t>
  </si>
  <si>
    <t>Diurna no significa máxima diaria. Las guías103–106 no especifican duración/estadístico suficiente para una regla directa.</t>
  </si>
  <si>
    <t>R1–R3 cruza FLO/REP/FIL; no asignar umbral independiente a REP. | Fase de trabajo: FLO. Ventana previa: REP / FLO. La asignación única NO acredita umbral separado; consultar R y cita AB.</t>
  </si>
  <si>
    <t>Temperatura nocturna del aire; estadístico por confirmar</t>
  </si>
  <si>
    <t>Pendiente · nocturna, NO Tmin automática</t>
  </si>
  <si>
    <t>Seleccionar solo las horas nocturnas definidas por el paper. Confirmar si el umbral usa media, máxima, mínima o temperatura constante nocturna.</t>
  </si>
  <si>
    <t>No reemplazar noche por daily_min. Sin definición de horario/estadístico no hay equivalencia directa completa.</t>
  </si>
  <si>
    <t>REP no demostrada por separado. | Fase de trabajo: FLO. Ventana previa: REP / FLO. La asignación única NO acredita umbral separado; consultar R y cita AB.</t>
  </si>
  <si>
    <t>Temperatura máxima diaria del aire (Tmax)</t>
  </si>
  <si>
    <t>Directa · Tmax diaria del aire</t>
  </si>
  <si>
    <t>2m_temperature; daily_statistic=daily_max</t>
  </si>
  <si>
    <t>ERA5-Land Daily Statistics: daily_max, muestreo1h, UTC−5; K−273.15. O máximo de t2m horaria del día local.</t>
  </si>
  <si>
    <t>Máxima de muestras horarias; contrastar con Tmax observada del paper. No usar media ni Tmin.</t>
  </si>
  <si>
    <t>Velocidad del viento a10m; promedio por verificar</t>
  </si>
  <si>
    <t>Derivada · viento10m; promedio/altura pendientes</t>
  </si>
  <si>
    <t>10m_u_component_of_wind;10m_v_component_of_wind</t>
  </si>
  <si>
    <t>Por instante: sqrt(u10²+v10²). Después aplicar el promedio temporal que exige la fuente; no usar máximo diario por defecto.</t>
  </si>
  <si>
    <t>Velocidad horaria del producto no garantiza viento medio horario del modelo. Xue15m/s no es umbral de acame; Joseph requiere validar fase y promedio.</t>
  </si>
  <si>
    <t>Temperatura controlada del ensayo (no estadístico diario)</t>
  </si>
  <si>
    <t>Sin equivalencia directa · tratamiento de cámara</t>
  </si>
  <si>
    <t>2m_temperature solo como exposición meteorológica candidata</t>
  </si>
  <si>
    <t>El ensayo mantiene una temperatura controlada; la reanálisis ofrece una trayectoria horaria variable. Conservar tratamiento y duración originales.</t>
  </si>
  <si>
    <t>No transformar temperatura constante en Tmax, Tmin o media sin una justificación y validación adicionales.</t>
  </si>
  <si>
    <t>Temperatura media diaria del aire (Tmedia)</t>
  </si>
  <si>
    <t>Directa · media diaria del aire</t>
  </si>
  <si>
    <t>2m_temperature; daily_statistic=daily_mean</t>
  </si>
  <si>
    <t>ERA5-Land Daily Statistics: daily_mean, muestreo1h, UTC−5; K−273.15. Media de las24horas locales.</t>
  </si>
  <si>
    <t>No equivale a Tmax, Tmin ni media nocturna. Verificar que el paper use media diaria de24h.</t>
  </si>
  <si>
    <t>Jointing–booting (#1); también heading–flowering (#2) y grain filling (#3) → VEG – Crecimiento vegetativo + REP – Desarrollo reproductivo + FLO – Floración + FIL – Llenado de grano/semilla | Fase de trabajo: REP. Ventana previa: VEG / REP. La asignación única NO acredita umbral separado; consultar R y cita AB.</t>
  </si>
  <si>
    <t>REP no confirmada. | Fase de trabajo: VEG. Ventana previa: VEG / REP. La asignación única NO acredita umbral separado; consultar R y cita AB.</t>
  </si>
  <si>
    <t>Precipitación total diaria</t>
  </si>
  <si>
    <t>Directa · acumulado diario de precipitación</t>
  </si>
  <si>
    <t>total_precipitation (tp), producto horario</t>
  </si>
  <si>
    <t>Deshacer acumulación según convención del producto; sumar incrementos del día localUTC−5 y multiplicar por1000 para mm.</t>
  </si>
  <si>
    <t>No usar Daily Statistics para tp: ese producto omite variables acumuladas. Lluvia no equivale a inundación.</t>
  </si>
  <si>
    <t>Exposición térmica de temporada (respuesta estadística)</t>
  </si>
  <si>
    <t>Pendiente · exposición térmica, sin estadístico único por fase</t>
  </si>
  <si>
    <t>2m_temperature (horaria), método del paper por reproducir</t>
  </si>
  <si>
    <t>Reproducir el cálculo de exposición térmica de la fuente. No interpretar30°C como Tmax diaria o umbral específico de la macrofase.</t>
  </si>
  <si>
    <t>Asociación de rendimiento de temporada; no identifica un evento independiente de esa fase.</t>
  </si>
  <si>
    <t>Temperatura cardinal máxima de germinación</t>
  </si>
  <si>
    <t>Sin equivalencia directa · parámetro cardinal</t>
  </si>
  <si>
    <t>No existe variable nativa de temperatura cardinal</t>
  </si>
  <si>
    <t>46.92°C es un parámetro de la respuesta de germinación; no es Tmax diaria ni un punto de corte meteorológico de daño.</t>
  </si>
  <si>
    <t>No asignar directamente a temperatura del aire2m.</t>
  </si>
  <si>
    <t>MAT no acreditada. | Fase de trabajo: FIL. Ventana previa: FIL / MAT. La asignación única NO acredita umbral separado; consultar R y cita AB.</t>
  </si>
  <si>
    <t>Seed filling (R5–R7), hasta physiological maturity (R7) → FIL – Llenado de grano/semilla + MAT – Maduración | Fase de trabajo: FIL. Ventana previa: FIL / MAT. La asignación única NO acredita umbral separado; consultar R y cita AB.</t>
  </si>
  <si>
    <t>Temperatura mínima del dosel / tejido</t>
  </si>
  <si>
    <t>Sin equivalencia directa · dosel ≠ aire2m</t>
  </si>
  <si>
    <t>2m_temperature (proxy, NO equivalencia directa)</t>
  </si>
  <si>
    <t>El umbral de helada corresponde al dosel. Tmin2m puede ser un predictor, previa relación y validación con temperatura del cultivo.</t>
  </si>
  <si>
    <t>No clasificar como Tmin del aire: aire2m y tejido vegetal tienen distinta temperatura durante heladas.</t>
  </si>
  <si>
    <t>Anomalía nocturna respecto al control del ensayo</t>
  </si>
  <si>
    <t>Sin equivalencia directa · anomalía experimental</t>
  </si>
  <si>
    <t>2m_temperature más referencia compatible, por definir</t>
  </si>
  <si>
    <t>Se requiere la temperatura nocturna de referencia. +3.8°C no es un umbral absoluto de temperatura.</t>
  </si>
  <si>
    <t>No aplicar como Tmin ni como anomalía climatológica sin definir la referencia del paper.</t>
  </si>
  <si>
    <t>Intensidad horaria de precipitación</t>
  </si>
  <si>
    <t>Directa · precipitación por intervalo horario</t>
  </si>
  <si>
    <t>Obtener incrementos de1h, convertir m→mm; sobre intervalo1h el valor se expresa en mm/h.</t>
  </si>
  <si>
    <t>5mm/h durante8h es tratamiento del ensayo; no un umbral universal ni acumulado diario5mm.</t>
  </si>
  <si>
    <t>VE–V6 | Fase de trabajo: VEG. Ventana previa: EST / VEG. La asignación única NO acredita umbral separado; consultar R y cita AB.</t>
  </si>
  <si>
    <t>VT–R1 | Fase de trabajo: VEG. Ventana previa: VEG / FLO. La asignación única NO acredita umbral separado; consultar R y cita AB.</t>
  </si>
  <si>
    <t>No aplica (severidad general)</t>
  </si>
  <si>
    <t>Duración de calor, derivada de Tmax por subfase</t>
  </si>
  <si>
    <t>Derivada · clasificación general, sin fase única</t>
  </si>
  <si>
    <t>2m_temperature; daily_max y rachas por subfase</t>
  </si>
  <si>
    <t>La duración se calcula después de aplicar el umbral Tmax específico de cada ventana; no es una variable climática nativa.</t>
  </si>
  <si>
    <t>Estos registros describen severidad general. No asignar arbitrariamente a una de las6fases.</t>
  </si>
  <si>
    <t>V0–VE; VE–V6; V6–VT; VT–R1; R1–R3; R3–R6 | Fase de trabajo: No aplica (severidad general). Ventana previa: EST / VEG / REP / FLO / FIL. La asignación única NO acredita umbral separado; consultar R y cita AB.</t>
  </si>
  <si>
    <t>Temperatura del suelo en siembra</t>
  </si>
  <si>
    <t>Proxy de profundidad · estadístico pendiente</t>
  </si>
  <si>
    <t>K−273.15; confirmar profundidad, horas de medición y estadístico del umbral10°C.</t>
  </si>
  <si>
    <t>No corresponde a t2m; referencia primaria y duración por corroborar.</t>
  </si>
  <si>
    <t>Temperatura del aire: estadístico no especificado</t>
  </si>
  <si>
    <t>Pendiente · media/mínima/nocturna sin confirmar</t>
  </si>
  <si>
    <t>2m_temperature (horaria), agregación pendiente</t>
  </si>
  <si>
    <t>La cita de Gass da15/18°C pero no define en el resumen el estadístico y duración. Corroborar método antes de elegir una serie.</t>
  </si>
  <si>
    <t>No inventar que se trata de Tmin, Tmedia o temperatura nocturna.</t>
  </si>
  <si>
    <t>Precipitación acumulada durante R6–R8</t>
  </si>
  <si>
    <t>Directa · acumulado de ventana completa, NO evento por fase</t>
  </si>
  <si>
    <t>Sumar incrementos de tp×1000 desde R6 hasta R8 una sola vez. No separar100mm para FIL y100mm para MAT.</t>
  </si>
  <si>
    <t>Clasifica una ventana húmeda; no define duración/intensidad de episodios individuales de lluvia.</t>
  </si>
  <si>
    <t>R6–R8 (late reproductive) | Fase de trabajo: MAT. Ventana previa: FIL / MAT. La asignación única NO acredita umbral separado; consultar R y cita AB.</t>
  </si>
  <si>
    <t>Jointing–heading | Fase de trabajo: VEG. Ventana previa: VEG / REP. La asignación única NO acredita umbral separado; consultar R y cita AB.</t>
  </si>
  <si>
    <t>Déficit de presión de vapor (VPD)</t>
  </si>
  <si>
    <t>Derivada · requiere temperatura y punto de rocío</t>
  </si>
  <si>
    <t>2m_temperature;2m_dewpoint_temperature</t>
  </si>
  <si>
    <t>VPD=es(T2m)−es(Td2m), en kPa, para la misma hora.</t>
  </si>
  <si>
    <t>No basta t2m sola; esta evidencia no proporciona umbral numérico de VPD.</t>
  </si>
  <si>
    <t>R1–R3: floración hasta grano lechoso | Fase de trabajo: FLO. Ventana previa: REP / FLO / FIL. La asignación única NO acredita umbral separado; consultar R y cita AB.</t>
  </si>
  <si>
    <t>Ripening: maduración del grano | Fase de trabajo: MAT. Ventana previa: FIL / MAT. La asignación única NO acredita umbral separado; consultar R y cita AB.</t>
  </si>
  <si>
    <t>Encañado–embuche (jointing–booting) | Fase de trabajo: REP. Ventana previa: VEG / REP. La asignación única NO acredita umbral separado; consultar R y cita AB.</t>
  </si>
  <si>
    <t>Temperatura horaria del aire durante helada</t>
  </si>
  <si>
    <t>Proxy espacial · temperatura horaria, NO Tmin diaria</t>
  </si>
  <si>
    <t>K−273.15; evaluar intervalos de2h bajo el corte°F convertido. La serie diaria Tmin no permite verificar duración.</t>
  </si>
  <si>
    <t>t2m representa una celda a2m; contrastar con temperatura en campo. Dos muestras horarias son discretización, no medición continua del tejido.</t>
  </si>
  <si>
    <t>Criterio acordado: una regla en una subfase cuenta como definida para la macrofase que la contiene; se aceptan ventanas al límite si el estadístico es comparable con ERA5-Land.</t>
  </si>
  <si>
    <t>REGLA DEFINIDA: existe regla de exposición comparable para una fase/subfase. PENDIENTE: falta estadístico comparable o respaldo. La definición no elimina los límites de aplicación.</t>
  </si>
  <si>
    <t>Ámbito de aplicación / límites</t>
  </si>
  <si>
    <t>REGLA DEFINIDA</t>
  </si>
  <si>
    <t>Regla de la subfase V6–VT, contenida en VEG. Se considera definida para VEG; aplicar el corte solo a esa subfase.</t>
  </si>
  <si>
    <t>Tmax ≥33.7°C</t>
  </si>
  <si>
    <t>Rachas≥2d en el tramo de cuajado dentro de R1–R3. Contar el episodio una sola vez.</t>
  </si>
  <si>
    <t>Definida por el criterio acordado para ventanas al límite. La fuente estima el corte para R1–R3; no es un corte exclusivo de REP.</t>
  </si>
  <si>
    <t>Rachas≥2d en la ventana R1–R3; conservar fechas de floración y no duplicar el mismo episodio en REP/FIL.</t>
  </si>
  <si>
    <t>Regla definida aunque la ventana de la fuente abarque fases vecinas; no se exige un umbral exclusivo para toda FLO.</t>
  </si>
  <si>
    <t>Regla R3–R6, contenida en FIL. Se considera definida para FIL aunque no cubra R2; aplicar solo a la ventana respaldada.</t>
  </si>
  <si>
    <t>Diaria; sin duración mínima publicada</t>
  </si>
  <si>
    <t>Contar días con Tmedia&gt;35°C durante emergencia/establecimiento. Agrupar días consecutivos solo si se declara ese criterio operativo.</t>
  </si>
  <si>
    <t>Regla de exposición definida por umbral y estadístico comparables. La fuente no publica duración mínima de daño; no atribuirle una.</t>
  </si>
  <si>
    <t>Tmax &gt;36°C</t>
  </si>
  <si>
    <t>Regla para macollamiento–encañado, dentro de VEG. Jiang2023 §2.5.2 define proceso con Tmax sobre el corte durante≥3d.</t>
  </si>
  <si>
    <t>Regla definida para encañado–embuche aunque la ventana cruce el límite de VEG. Aplicable al arroz de una cosecha; mantener la ventana fuente.</t>
  </si>
  <si>
    <t>Contar días con Tmedia&gt;30°C en ripening. Agrupar consecutivos solo como criterio operativo declarado.</t>
  </si>
  <si>
    <t>Se acepta ripening como ventana de maduración al límite de FIL/MAT. Regla de exposición; la fuente no da duración mínima de daño. No extender a grano seco/cosecha.</t>
  </si>
  <si>
    <t>Evaluar una vez la precipitación total de R6–R8; R6 pertenece a FIL. No volver a contar esa ventana como un evento distinto en MAT.</t>
  </si>
  <si>
    <t>Regla definida para FIL por inclusión de R6 y comparabilidad de la precipitación acumulada. Clasifica una ventana húmeda; no identifica episodios individuales de lluvia.</t>
  </si>
  <si>
    <t>Evaluar una vez la precipitación total de R6–R8; incluye maduración. Es la misma ventana que se registra en FIL.</t>
  </si>
  <si>
    <t>Regla definida para MAT por el criterio acordado de ventana al límite. No sumar esta clasificación y la de FIL como dos eventos; no aplicar100mm solo a R8.</t>
  </si>
  <si>
    <t>Regla para jointing, subfase dentro de VEG: queda definida. Evaluar2h con datos horarios y conservar la limitación espacial de temperatura2m.</t>
  </si>
  <si>
    <t>Regla para heading, subfase dentro de REP: queda definida. El corte de boot es distinto; no extender automáticamente30°F a todas las subfases.</t>
  </si>
  <si>
    <t>Regla para milk/dough, subfases dentro de FIL: queda definida. No extender después de madurez fisiológica; validar la temperatura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</si>
</sst>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Carlito"/>
    </font>
    <font>
      <b/>
      <sz val="16"/>
      <color rgb="FFFFFFFF"/>
      <name val="Carlito"/>
    </font>
    <font>
      <i/>
      <sz val="10"/>
      <color rgb="FF274C5E"/>
      <name val="Carlito"/>
    </font>
    <font>
      <b/>
      <sz val="11"/>
      <color rgb="FFFFFFFF"/>
      <name val="Carlito"/>
    </font>
    <font>
      <sz val="11"/>
      <color rgb="FF0066CC"/>
      <name val="Carlito"/>
    </font>
    <font>
      <b/>
      <sz val="15"/>
      <color rgb="FFFFFFFF"/>
      <name val="Carlito"/>
    </font>
    <font>
      <b/>
      <sz val="11"/>
      <name val="Carlito"/>
    </font>
    <font>
      <sz val="10"/>
      <name val="Arial Unicode MS"/>
    </font>
    <font>
      <sz val="10"/>
      <name val="Arial"/>
    </font>
    <font>
      <b/>
      <sz val="10"/>
      <color rgb="FFFFFFFF"/>
      <name val="Arial"/>
    </font>
    <font>
      <b/>
      <sz val="14"/>
      <color rgb="FF18556C"/>
      <name val="Arial"/>
    </font>
    <font>
      <b/>
      <sz val="11"/>
      <color rgb="FFFFFFFF"/>
      <name val="Calibri"/>
    </font>
    <font>
      <sz val="11"/>
      <color rgb="FF25334A"/>
      <name val="Calibri"/>
    </font>
    <font>
      <b/>
      <sz val="11"/>
      <color rgb="FF25334A"/>
      <name val="Calibri"/>
    </font>
    <font>
      <b/>
      <sz val="11"/>
      <color rgb="FF9C4426"/>
      <name val="Calibri"/>
    </font>
    <font>
      <sz val="11"/>
      <color rgb="FF25334A"/>
      <name val="Arial"/>
    </font>
    <font>
      <b/>
      <sz val="15"/>
      <color rgb="FF25334A"/>
      <name val="Arial"/>
    </font>
    <font>
      <b/>
      <sz val="11"/>
      <color rgb="FFFFFFFF"/>
      <name val="Arial"/>
    </font>
    <font>
      <sz val="11"/>
      <name val="Arial"/>
    </font>
    <font>
      <b/>
      <sz val="11"/>
      <color rgb="FFFFFFFF"/>
      <name val="Arial"/>
    </font>
    <font>
      <sz val="11"/>
      <name val="Arial"/>
    </font>
    <font>
      <b/>
      <sz val="16"/>
      <color rgb="FF243C56"/>
      <name val="Arial"/>
    </font>
    <font>
      <b/>
      <sz val="11"/>
      <color rgb="FFFFFFFF"/>
      <name val="Arial"/>
    </font>
    <font>
      <sz val="11"/>
      <color rgb="FF16649A"/>
      <name val="Arial"/>
    </font>
  </fonts>
  <fills count="27">
    <fill>
      <patternFill patternType="none"/>
    </fill>
    <fill>
      <patternFill patternType="gray125"/>
    </fill>
    <fill>
      <patternFill patternType="solid">
        <fgColor rgb="FF173F5F"/>
      </patternFill>
    </fill>
    <fill>
      <patternFill patternType="solid">
        <fgColor rgb="FFEAF1F5"/>
      </patternFill>
    </fill>
    <fill>
      <patternFill patternType="solid">
        <fgColor rgb="FF247BA0"/>
      </patternFill>
    </fill>
    <fill>
      <patternFill patternType="solid">
        <fgColor theme="6" tint="0.79992065187536243"/>
        <bgColor indexed="65"/>
      </patternFill>
    </fill>
    <fill>
      <patternFill patternType="solid">
        <fgColor theme="5" tint="0.39997558519241921"/>
        <bgColor indexed="65"/>
      </patternFill>
    </fill>
    <fill>
      <patternFill patternType="solid">
        <fgColor theme="8" tint="0.59993285927915285"/>
        <bgColor indexed="65"/>
      </patternFill>
    </fill>
    <fill>
      <patternFill patternType="solid">
        <fgColor rgb="FF227C9D"/>
      </patternFill>
    </fill>
    <fill>
      <patternFill patternType="solid">
        <fgColor rgb="FFEAF4F8"/>
      </patternFill>
    </fill>
    <fill>
      <patternFill patternType="solid">
        <fgColor rgb="FF805F24"/>
      </patternFill>
    </fill>
    <fill>
      <patternFill patternType="solid">
        <fgColor rgb="FFFFF2CC"/>
      </patternFill>
    </fill>
    <fill>
      <patternFill patternType="solid">
        <fgColor rgb="FFFCE4D6"/>
      </patternFill>
    </fill>
    <fill>
      <patternFill patternType="none"/>
    </fill>
    <fill>
      <patternFill patternType="solid">
        <fgColor rgb="FF243C56"/>
      </patternFill>
    </fill>
    <fill>
      <patternFill patternType="solid">
        <fgColor rgb="FFFFF2CC"/>
      </patternFill>
    </fill>
    <fill>
      <patternFill patternType="none"/>
    </fill>
    <fill>
      <patternFill patternType="solid">
        <fgColor rgb="FF243C56"/>
      </patternFill>
    </fill>
    <fill>
      <patternFill patternType="solid">
        <fgColor rgb="FFFFF2CC"/>
      </patternFill>
    </fill>
    <fill>
      <patternFill patternType="solid">
        <fgColor rgb="FFDEEAF6"/>
      </patternFill>
    </fill>
    <fill>
      <patternFill patternType="solid">
        <fgColor rgb="FFF4CCCC"/>
      </patternFill>
    </fill>
    <fill>
      <patternFill patternType="solid">
        <fgColor rgb="FFFFF8E7"/>
      </patternFill>
    </fill>
    <fill>
      <patternFill patternType="solid">
        <fgColor rgb="FFF4B183"/>
      </patternFill>
    </fill>
    <fill>
      <patternFill patternType="none"/>
    </fill>
    <fill>
      <patternFill patternType="solid">
        <fgColor rgb="FFF4B183"/>
      </patternFill>
    </fill>
    <fill>
      <patternFill patternType="solid">
        <fgColor rgb="FF243C56"/>
      </patternFill>
    </fill>
    <fill>
      <patternFill patternType="solid">
        <fgColor rgb="FFDEEAF6"/>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1">
    <xf numFmtId="0" fontId="0" fillId="0" borderId="0" xfId="0"/>
    <xf numFmtId="0" fontId="3" fillId="4" borderId="0" xfId="0" applyFont="1" applyFill="1" applyAlignment="1">
      <alignment wrapText="1"/>
    </xf>
    <xf numFmtId="0" fontId="3" fillId="4"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1" fontId="0" fillId="0" borderId="0" xfId="0" applyNumberFormat="1" applyAlignment="1">
      <alignment vertical="top" wrapText="1"/>
    </xf>
    <xf numFmtId="0" fontId="4" fillId="0" borderId="0" xfId="0" applyFont="1" applyAlignment="1">
      <alignment vertical="top"/>
    </xf>
    <xf numFmtId="0" fontId="0" fillId="5" borderId="0" xfId="0" applyFill="1" applyAlignment="1">
      <alignment vertical="top" wrapText="1"/>
    </xf>
    <xf numFmtId="0" fontId="0" fillId="6" borderId="0" xfId="0" applyFill="1" applyAlignment="1">
      <alignment vertical="top" wrapText="1"/>
    </xf>
    <xf numFmtId="0" fontId="0" fillId="0" borderId="0" xfId="0" applyAlignment="1">
      <alignment vertical="center" wrapText="1"/>
    </xf>
    <xf numFmtId="0" fontId="0" fillId="7" borderId="0" xfId="0" applyFill="1" applyAlignment="1">
      <alignmen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left" vertical="top" wrapText="1"/>
    </xf>
    <xf numFmtId="0" fontId="7" fillId="0" borderId="0" xfId="0" applyFont="1" applyAlignment="1">
      <alignment vertical="center" wrapText="1"/>
    </xf>
    <xf numFmtId="0" fontId="8" fillId="0" borderId="0" xfId="0" applyFont="1" applyAlignment="1">
      <alignment vertical="top" wrapText="1"/>
    </xf>
    <xf numFmtId="0" fontId="9" fillId="8" borderId="0" xfId="0" applyFont="1" applyFill="1" applyAlignment="1">
      <alignment vertical="top" wrapText="1"/>
    </xf>
    <xf numFmtId="0" fontId="8" fillId="9" borderId="0" xfId="0" applyFont="1" applyFill="1" applyAlignment="1">
      <alignment vertical="top" wrapText="1"/>
    </xf>
    <xf numFmtId="0" fontId="0" fillId="0" borderId="0" xfId="0" applyAlignment="1">
      <alignment wrapText="1"/>
    </xf>
    <xf numFmtId="0" fontId="11" fillId="10" borderId="1" xfId="0" applyFont="1" applyFill="1" applyBorder="1" applyAlignment="1">
      <alignment vertical="center" wrapText="1"/>
    </xf>
    <xf numFmtId="0" fontId="12" fillId="11" borderId="1" xfId="0" applyFont="1" applyFill="1" applyBorder="1" applyAlignment="1">
      <alignment vertical="top" wrapText="1"/>
    </xf>
    <xf numFmtId="0" fontId="13" fillId="11" borderId="1" xfId="0" applyFont="1" applyFill="1" applyBorder="1" applyAlignment="1">
      <alignment vertical="top" wrapText="1"/>
    </xf>
    <xf numFmtId="0" fontId="14" fillId="12" borderId="1" xfId="0" applyFont="1" applyFill="1" applyBorder="1" applyAlignment="1">
      <alignment vertical="top" wrapText="1"/>
    </xf>
    <xf numFmtId="0" fontId="15" fillId="13" borderId="2" xfId="0" applyFont="1" applyFill="1" applyBorder="1" applyAlignment="1">
      <alignment vertical="top" wrapText="1"/>
    </xf>
    <xf numFmtId="0" fontId="16" fillId="13" borderId="2" xfId="0" applyFont="1" applyFill="1" applyBorder="1" applyAlignment="1">
      <alignment vertical="top" wrapText="1"/>
    </xf>
    <xf numFmtId="0" fontId="15" fillId="13" borderId="2" xfId="0" applyFont="1" applyFill="1" applyBorder="1" applyAlignment="1">
      <alignment vertical="top"/>
    </xf>
    <xf numFmtId="0" fontId="17" fillId="14" borderId="2" xfId="0" applyFont="1" applyFill="1" applyBorder="1" applyAlignment="1">
      <alignment horizontal="center" vertical="center" wrapText="1"/>
    </xf>
    <xf numFmtId="0" fontId="15" fillId="15" borderId="2" xfId="0" applyFont="1" applyFill="1" applyBorder="1" applyAlignment="1">
      <alignment vertical="top" wrapText="1"/>
    </xf>
    <xf numFmtId="0" fontId="18" fillId="16" borderId="3" xfId="0" applyFont="1" applyFill="1" applyBorder="1" applyAlignment="1">
      <alignment vertical="top" wrapText="1"/>
    </xf>
    <xf numFmtId="0" fontId="19" fillId="17" borderId="3" xfId="0" applyFont="1" applyFill="1" applyBorder="1" applyAlignment="1">
      <alignment vertical="center" wrapText="1"/>
    </xf>
    <xf numFmtId="0" fontId="18" fillId="18" borderId="3" xfId="0" applyFont="1" applyFill="1" applyBorder="1" applyAlignment="1">
      <alignment vertical="top" wrapText="1"/>
    </xf>
    <xf numFmtId="0" fontId="18" fillId="19" borderId="3" xfId="0" applyFont="1" applyFill="1" applyBorder="1" applyAlignment="1">
      <alignment vertical="top" wrapText="1"/>
    </xf>
    <xf numFmtId="0" fontId="18" fillId="20" borderId="3" xfId="0" applyFont="1" applyFill="1" applyBorder="1" applyAlignment="1">
      <alignment vertical="top" wrapText="1"/>
    </xf>
    <xf numFmtId="0" fontId="18" fillId="21" borderId="3" xfId="0" applyFont="1" applyFill="1" applyBorder="1" applyAlignment="1">
      <alignment vertical="top" wrapText="1"/>
    </xf>
    <xf numFmtId="0" fontId="0" fillId="22" borderId="0" xfId="0" applyFill="1" applyAlignment="1">
      <alignment vertical="top"/>
    </xf>
    <xf numFmtId="0" fontId="0" fillId="22" borderId="0" xfId="0" applyFill="1" applyAlignment="1">
      <alignment vertical="top" wrapText="1"/>
    </xf>
    <xf numFmtId="0" fontId="20" fillId="23" borderId="4" xfId="0" applyFont="1" applyFill="1" applyBorder="1" applyAlignment="1">
      <alignment vertical="top" wrapText="1"/>
    </xf>
    <xf numFmtId="0" fontId="22" fillId="25" borderId="4" xfId="0" applyFont="1" applyFill="1" applyBorder="1" applyAlignment="1">
      <alignment vertical="top" wrapText="1"/>
    </xf>
    <xf numFmtId="0" fontId="23" fillId="23" borderId="4" xfId="0" applyFont="1" applyFill="1" applyBorder="1" applyAlignment="1">
      <alignment vertical="top" wrapText="1"/>
    </xf>
    <xf numFmtId="0" fontId="20" fillId="24" borderId="4" xfId="0" applyFont="1" applyFill="1" applyBorder="1" applyAlignment="1">
      <alignment vertical="top" wrapText="1"/>
    </xf>
    <xf numFmtId="0" fontId="0" fillId="24" borderId="0" xfId="0" applyFill="1" applyAlignment="1">
      <alignment vertical="top" wrapText="1"/>
    </xf>
    <xf numFmtId="0" fontId="18" fillId="24" borderId="3" xfId="0" applyFont="1" applyFill="1" applyBorder="1" applyAlignment="1">
      <alignment vertical="top" wrapText="1"/>
    </xf>
    <xf numFmtId="0" fontId="20" fillId="26" borderId="4" xfId="0" applyFont="1" applyFill="1" applyBorder="1" applyAlignment="1">
      <alignment vertical="top" wrapText="1"/>
    </xf>
    <xf numFmtId="0" fontId="21" fillId="23" borderId="4" xfId="0" applyFont="1" applyFill="1" applyBorder="1" applyAlignment="1">
      <alignment vertical="top" wrapText="1"/>
    </xf>
    <xf numFmtId="0" fontId="20" fillId="23" borderId="4" xfId="0" applyFont="1"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5" fillId="2" borderId="0" xfId="0" applyFont="1" applyFill="1" applyAlignment="1">
      <alignment vertical="center"/>
    </xf>
    <xf numFmtId="0" fontId="8"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5">
    <dxf>
      <font>
        <b/>
        <color rgb="FF9C2020"/>
      </font>
      <fill>
        <patternFill>
          <bgColor rgb="FFFCE1DE"/>
        </patternFill>
      </fill>
    </dxf>
    <dxf>
      <font>
        <b/>
        <color rgb="FF9C2020"/>
      </font>
      <fill>
        <patternFill>
          <bgColor rgb="FFFCE1DE"/>
        </patternFill>
      </fill>
    </dxf>
    <dxf>
      <font>
        <color rgb="FF7F6000"/>
      </font>
      <fill>
        <patternFill>
          <bgColor rgb="FFFFF2CC"/>
        </patternFill>
      </fill>
    </dxf>
    <dxf>
      <font>
        <color rgb="FF990000"/>
      </font>
      <fill>
        <patternFill>
          <bgColor rgb="FFF4CCCC"/>
        </patternFill>
      </fill>
    </dxf>
    <dxf>
      <font>
        <color rgb="FF274E13"/>
      </font>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MaestroFenologia" displayName="MaestroFenologia" ref="A7:O31" totalsRowShown="0">
  <autoFilter ref="A7:O31" xr:uid="{00000000-000C-0000-FFFF-FFFF00000000}"/>
  <tableColumns count="15">
    <tableColumn id="1" xr3:uid="{00000000-0010-0000-0000-000001000000}" name="Cultivo"/>
    <tableColumn id="2" xr3:uid="{00000000-0010-0000-0000-000002000000}" name="Fase única"/>
    <tableColumn id="3" xr3:uid="{00000000-0010-0000-0000-000003000000}" name="Amenaza priorizada"/>
    <tableColumn id="4" xr3:uid="{00000000-0010-0000-0000-000004000000}" name="Variable y estadístico exactos"/>
    <tableColumn id="5" xr3:uid="{00000000-0010-0000-0000-000005000000}" name="Umbral / valor de referencia"/>
    <tableColumn id="6" xr3:uid="{00000000-0010-0000-0000-000006000000}" name="Duración"/>
    <tableColumn id="7" xr3:uid="{00000000-0010-0000-0000-000007000000}" name="Cómo contar eventos"/>
    <tableColumn id="8" xr3:uid="{00000000-0010-0000-0000-000008000000}" name="Estado de la regla"/>
    <tableColumn id="9" xr3:uid="{00000000-0010-0000-0000-000009000000}" name="Fuente: abrir"/>
    <tableColumn id="10" xr3:uid="{00000000-0010-0000-0000-00000A000000}" name="Ámbito de aplicación / límites"/>
    <tableColumn id="11" xr3:uid="{00000000-0010-0000-0000-00000B000000}" name="Ver evidencia y cita literal"/>
    <tableColumn id="12" name="Revisión: fragmentos exactos del documento"/>
    <tableColumn id="13" name="Ubicación de cada fragmento / fuente"/>
    <tableColumn id="14" name="Abrir PDF principal de tu carpeta"/>
    <tableColumn id="15" name="Fuentes por componente / abrir otra fuen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oriaUmbralesWeb" displayName="AuditoriaUmbralesWeb" ref="A4:AM115" totalsRowShown="0">
  <autoFilter ref="A4:AM115" xr:uid="{00000000-0009-0000-0100-000001000000}">
    <filterColumn colId="0">
      <filters>
        <filter val="Arroz"/>
      </filters>
    </filterColumn>
  </autoFilter>
  <tableColumns count="39">
    <tableColumn id="1" xr3:uid="{00000000-0010-0000-0000-000001000000}" name="Cultivo"/>
    <tableColumn id="2" xr3:uid="{00000000-0010-0000-0000-000002000000}" name="Fase_x000a_ código"/>
    <tableColumn id="3" xr3:uid="{00000000-0010-0000-0000-000003000000}" name="Fase"/>
    <tableColumn id="4" xr3:uid="{00000000-0010-0000-0000-000004000000}" name="Amenaza"/>
    <tableColumn id="5" xr3:uid="{00000000-0010-0000-0000-000005000000}" name="Umbral publicado en la web"/>
    <tableColumn id="6" xr3:uid="{00000000-0010-0000-0000-000006000000}" name="Categoría de evidencia"/>
    <tableColumn id="7" xr3:uid="{00000000-0010-0000-0000-000007000000}" name="Interpretación/impacto en la web"/>
    <tableColumn id="8" xr3:uid="{00000000-0010-0000-0000-000008000000}" name="Impacto cuantitativo en la web"/>
    <tableColumn id="9" xr3:uid="{00000000-0010-0000-0000-000009000000}" name="Fuente"/>
    <tableColumn id="10" xr3:uid="{00000000-0010-0000-0000-00000A000000}" name="Página_x000a_ PDF"/>
    <tableColumn id="11" xr3:uid="{00000000-0010-0000-0000-00000B000000}" name="Párrafo localizado en el paper"/>
    <tableColumn id="12" xr3:uid="{00000000-0010-0000-0000-00000C000000}" name="Limitaciones ya declaradas en la web"/>
    <tableColumn id="13" xr3:uid="{00000000-0010-0000-0000-00000D000000}" name="Abrir PDF local"/>
    <tableColumn id="14" xr3:uid="{00000000-0010-0000-0000-00000E000000}" name="Abrir DOI/URL"/>
    <tableColumn id="15" xr3:uid="{00000000-0010-0000-0000-00000F000000}" name="Rule ID"/>
    <tableColumn id="16" xr3:uid="{00000000-0010-0000-0000-000010000000}" name="Estado de revisión"/>
    <tableColumn id="17" xr3:uid="{00000000-0010-0000-0000-000011000000}" name="Comentario del revisor"/>
    <tableColumn id="18" xr3:uid="{00000000-0010-0000-0000-000012000000}" name="Fase que suele usar el paper - homologación"/>
    <tableColumn id="19" xr3:uid="{00000000-0010-0000-0000-000013000000}" name="Macrofase que debería corresponder"/>
    <tableColumn id="20" xr3:uid="{00000000-0010-0000-0000-000014000000}" name="Variable amenaza"/>
    <tableColumn id="21" xr3:uid="{00000000-0010-0000-0000-000015000000}" name="Umbral exacto"/>
    <tableColumn id="22" xr3:uid="{00000000-0010-0000-0000-000016000000}" name="Tiempo consecutivo"/>
    <tableColumn id="23" xr3:uid="{00000000-0010-0000-0000-000017000000}" name="Variable disponible en ERA5-Land"/>
    <tableColumn id="24" xr3:uid="{00000000-0010-0000-0000-000018000000}" name="Código para descargar"/>
    <tableColumn id="25" xr3:uid="{00000000-0010-0000-0000-000019000000}" name="Cómo se obtiene la variable"/>
    <tableColumn id="26" xr3:uid="{00000000-0010-0000-0000-00001A000000}" name="Límite de equivalencia / uso"/>
    <tableColumn id="27" xr3:uid="{00000000-0010-0000-0000-00001B000000}" name="DOI de nueva fuente"/>
    <tableColumn id="28" xr3:uid="{00000000-0010-0000-0000-00001C000000}" name="Fragmento textual verificado"/>
    <tableColumn id="29" xr3:uid="{00000000-0010-0000-0000-00001D000000}" name="Ubicación verificada"/>
    <tableColumn id="30" xr3:uid="{00000000-0010-0000-0000-00001E000000}" name="Resultado de verificación"/>
    <tableColumn id="31" xr3:uid="{00000000-0010-0000-0000-00001F000000}" name="Uso del dato para cuantificar"/>
    <tableColumn id="32" xr3:uid="{00000000-0010-0000-0000-000020000000}" name="Estado de descarga"/>
    <tableColumn id="33" xr3:uid="{00000000-0010-0000-0000-000021000000}" name="Fecha de verificación"/>
    <tableColumn id="34" xr3:uid="{00000000-0010-0000-0000-000022000000}" name="Referencias / apoyo relacionado"/>
    <tableColumn id="35" xr3:uid="{00000000-0010-0000-0000-000023000000}" name="Estado operativo de esta evidencia"/>
    <tableColumn id="36" xr3:uid="{00000000-0010-0000-0000-000024000000}" name="Fase que debe verificarse"/>
    <tableColumn id="37" xr3:uid="{00000000-0010-0000-0000-000025000000}" name="Regla utilizable / motivo de descarte"/>
    <tableColumn id="38" xr3:uid="{00000000-0010-0000-0000-000026000000}" name="Alternativa rastreable por cultivo y fase"/>
    <tableColumn id="39" xr3:uid="{00000000-0010-0000-0000-000027000000}" name="Qué debes corroborar en la fue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orrespondenciasEvidencia" displayName="CorrespondenciasEvidencia" ref="A22:K133" totalsRowShown="0">
  <tableColumns count="11">
    <tableColumn id="1" xr3:uid="{00000000-0010-0000-0100-000001000000}" name="ID evidencia"/>
    <tableColumn id="2" xr3:uid="{00000000-0010-0000-0100-000002000000}" name="Cultivo"/>
    <tableColumn id="3" xr3:uid="{00000000-0010-0000-0100-000003000000}" name="Código original"/>
    <tableColumn id="4" xr3:uid="{00000000-0010-0000-0100-000004000000}" name="Fase original"/>
    <tableColumn id="5" xr3:uid="{00000000-0010-0000-0100-000005000000}" name="Ventana / fase del paper"/>
    <tableColumn id="6" xr3:uid="{00000000-0010-0000-0100-000006000000}" name="Macrofase registrada"/>
    <tableColumn id="7" xr3:uid="{00000000-0010-0000-0100-000007000000}" name="Qué corroborar de la correspondencia"/>
    <tableColumn id="8" xr3:uid="{00000000-0010-0000-0100-000008000000}" name="Fuente"/>
    <tableColumn id="9" xr3:uid="{00000000-0010-0000-0100-000009000000}" name="Abrir paper"/>
    <tableColumn id="10" xr3:uid="{00000000-0010-0000-0100-00000A000000}" name="Comentario original / verificación"/>
    <tableColumn id="11" xr3:uid="{00000000-0010-0000-0100-00000B000000}" name="Ir a Auditoría web"/>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entesUnicas" displayName="FuentesUnicas" ref="A3:K62" totalsRowShown="0">
  <tableColumns count="11">
    <tableColumn id="1" xr3:uid="{00000000-0010-0000-0100-000001000000}" name="Rule ID"/>
    <tableColumn id="2" xr3:uid="{00000000-0010-0000-0100-000002000000}" name="Cultivo"/>
    <tableColumn id="3" xr3:uid="{00000000-0010-0000-0100-000003000000}" name="Amenaza"/>
    <tableColumn id="4" xr3:uid="{00000000-0010-0000-0100-000004000000}" name="Fuente"/>
    <tableColumn id="5" xr3:uid="{00000000-0010-0000-0100-000005000000}" name="Umbral web"/>
    <tableColumn id="6" xr3:uid="{00000000-0010-0000-0100-000006000000}" name="Página PDF"/>
    <tableColumn id="7" xr3:uid="{00000000-0010-0000-0100-000007000000}" name="Párrafo localizado"/>
    <tableColumn id="8" xr3:uid="{00000000-0010-0000-0100-000008000000}" name="Abrir PDF local"/>
    <tableColumn id="9" xr3:uid="{00000000-0010-0000-0100-000009000000}" name="Abrir DOI/URL"/>
    <tableColumn id="10" xr3:uid="{00000000-0010-0000-0100-00000A000000}" name="Categoría"/>
    <tableColumn id="11" xr3:uid="{00000000-0010-0000-0100-00000B000000}" name="Limit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5" Type="http://schemas.openxmlformats.org/officeDocument/2006/relationships/table" Target="../tables/table1.xml"/><Relationship Id="rId1" Type="http://schemas.openxmlformats.org/officeDocument/2006/relationships/hyperlink" Target="https://doi.org/10.1016/j.eja.2025.127729" TargetMode="External"/><Relationship Id="rId33" Type="http://schemas.openxmlformats.org/officeDocument/2006/relationships/hyperlink" Target="C:/Users/paola/Tesis/04_Bibliography/Fenolog&#237;a 24 amenazasa/main.pdf" TargetMode="External"/><Relationship Id="rId34" Type="http://schemas.openxmlformats.org/officeDocument/2006/relationships/hyperlink" Target="C:/Users/paola/Tesis/04_Bibliography/Fenolog&#237;a 24 amenazasa/agronomy-15-01545.pdf" TargetMode="External"/><Relationship Id="rId2" Type="http://schemas.openxmlformats.org/officeDocument/2006/relationships/hyperlink" Target="https://doi.org/10.1016/j.eja.2025.127729" TargetMode="External"/><Relationship Id="rId35" Type="http://schemas.openxmlformats.org/officeDocument/2006/relationships/hyperlink" Target="C:/Users/paola/Tesis/04_Bibliography/Fenolog&#237;a 24 amenazasa/main.pdf" TargetMode="External"/><Relationship Id="rId36" Type="http://schemas.openxmlformats.org/officeDocument/2006/relationships/hyperlink" Target="C:/Users/paola/Tesis/04_Bibliography/Fenolog&#237;a 24 amenazasa/agronomy-15-01545.pdf" TargetMode="External"/><Relationship Id="rId3" Type="http://schemas.openxmlformats.org/officeDocument/2006/relationships/hyperlink" Target="https://doi.org/10.3390/agronomy15071545" TargetMode="External"/><Relationship Id="rId37" Type="http://schemas.openxmlformats.org/officeDocument/2006/relationships/hyperlink" Target="C:/Users/paola/Tesis/04_Bibliography/Fenolog&#237;a 24 amenazasa/agronomy-15-01545.pdf" TargetMode="External"/><Relationship Id="rId38" Type="http://schemas.openxmlformats.org/officeDocument/2006/relationships/hyperlink" Target="C:/Users/paola/Tesis/04_Bibliography/Fenolog&#237;a 24 amenazasa/main.pdf" TargetMode="External"/><Relationship Id="rId4" Type="http://schemas.openxmlformats.org/officeDocument/2006/relationships/hyperlink" Target="https://doi.org/10.3390/agronomy15071545" TargetMode="External"/><Relationship Id="rId39" Type="http://schemas.openxmlformats.org/officeDocument/2006/relationships/hyperlink" Target="C:/Users/paola/Tesis/04_Bibliography/Fenolog&#237;a 24 amenazasa/agronomy-15-01545.pdf" TargetMode="External"/><Relationship Id="rId40" Type="http://schemas.openxmlformats.org/officeDocument/2006/relationships/hyperlink" Target="C:/Users/paola/Tesis/04_Bibliography/Fenolog&#237;a 24 amenazasa/main.pdf" TargetMode="External"/><Relationship Id="rId5" Type="http://schemas.openxmlformats.org/officeDocument/2006/relationships/hyperlink" Target="https://doi.org/10.3390/agronomy15071545" TargetMode="External"/><Relationship Id="rId41" Type="http://schemas.openxmlformats.org/officeDocument/2006/relationships/hyperlink" Target="C:/Users/paola/Tesis/04_Bibliography/Fenolog&#237;a 24 amenazasa/agronomy-15-01545.pdf" TargetMode="External"/><Relationship Id="rId42" Type="http://schemas.openxmlformats.org/officeDocument/2006/relationships/hyperlink" Target="C:/Users/paola/Tesis/04_Bibliography/Fenolog&#237;a 24 amenazasa/main.pdf" TargetMode="External"/><Relationship Id="rId6" Type="http://schemas.openxmlformats.org/officeDocument/2006/relationships/hyperlink" Target="https://doi.org/10.21640/ns.v11i22.1682" TargetMode="External"/><Relationship Id="rId26" Type="http://schemas.openxmlformats.org/officeDocument/2006/relationships/hyperlink" Target="C:/Users/paola/Tesis/04_Bibliography/Fenolog&#237;a 24 amenazasa/Ortega_2019.pdf" TargetMode="External"/><Relationship Id="rId7" Type="http://schemas.openxmlformats.org/officeDocument/2006/relationships/hyperlink" Target="https://books.irri.org/9711040522_content.pdf" TargetMode="External"/><Relationship Id="rId43" Type="http://schemas.openxmlformats.org/officeDocument/2006/relationships/hyperlink" Target="C:/Users/paola/Tesis/04_Bibliography/Fenolog&#237;a 24 amenazasa/Yoshida_1981.pdf" TargetMode="External"/><Relationship Id="rId12" Type="http://schemas.openxmlformats.org/officeDocument/2006/relationships/hyperlink" Target="https://books.irri.org/9711040522_content.pdf" TargetMode="External"/><Relationship Id="rId44" Type="http://schemas.openxmlformats.org/officeDocument/2006/relationships/hyperlink" Target="C:/Users/paola/Tesis/04_Bibliography/Fenolog&#237;a 24 amenazasa/Yoshida_1981.pdf" TargetMode="External"/><Relationship Id="rId8" Type="http://schemas.openxmlformats.org/officeDocument/2006/relationships/hyperlink" Target="https://doi.org/10.3390/agronomy13102574" TargetMode="External"/><Relationship Id="rId45" Type="http://schemas.openxmlformats.org/officeDocument/2006/relationships/hyperlink" Target="C:/Users/paola/Tesis/04_Bibliography/Fenolog&#237;a 24 amenazasa/agronomy-13-02574.pdf" TargetMode="External"/><Relationship Id="rId9" Type="http://schemas.openxmlformats.org/officeDocument/2006/relationships/hyperlink" Target="https://doi.org/10.5194/esd-16-1971-2025" TargetMode="External"/><Relationship Id="rId46" Type="http://schemas.openxmlformats.org/officeDocument/2006/relationships/hyperlink" Target="C:/Users/paola/Tesis/04_Bibliography/Fenolog&#237;a 24 amenazasa/esd-16-1971-2025.pdf" TargetMode="External"/><Relationship Id="rId10" Type="http://schemas.openxmlformats.org/officeDocument/2006/relationships/hyperlink" Target="https://doi.org/10.5194/esd-16-1971-2025" TargetMode="External"/><Relationship Id="rId47" Type="http://schemas.openxmlformats.org/officeDocument/2006/relationships/hyperlink" Target="C:/Users/paola/Tesis/04_Bibliography/Fenolog&#237;a 24 amenazasa/esd-16-1971-2025.pdf" TargetMode="External"/><Relationship Id="rId11" Type="http://schemas.openxmlformats.org/officeDocument/2006/relationships/hyperlink" Target="https://doi.org/10.5194/esd-16-1971-2025" TargetMode="External"/><Relationship Id="rId48" Type="http://schemas.openxmlformats.org/officeDocument/2006/relationships/hyperlink" Target="C:/Users/paola/Tesis/04_Bibliography/Fenolog&#237;a 24 amenazasa/esd-16-1971-2025.pdf" TargetMode="External"/><Relationship Id="rId13" Type="http://schemas.openxmlformats.org/officeDocument/2006/relationships/hyperlink" Target="https://doi.org/10.1038/s41598-019-38971-3" TargetMode="External"/><Relationship Id="rId27" Type="http://schemas.openxmlformats.org/officeDocument/2006/relationships/hyperlink" Target="C:/Users/paola/Tesis/04_Bibliography/Fenolog&#237;a 24 amenazasa/s41598-019-38971-3.pdf" TargetMode="External"/><Relationship Id="rId14" Type="http://schemas.openxmlformats.org/officeDocument/2006/relationships/hyperlink" Target="https://doi.org/10.3389/fpls.2020.00153" TargetMode="External"/><Relationship Id="rId28" Type="http://schemas.openxmlformats.org/officeDocument/2006/relationships/hyperlink" Target="C:/Users/paola/Tesis/04_Bibliography/Fenolog&#237;a 24 amenazasa/fpls-11-00153.pdf" TargetMode="External"/><Relationship Id="rId15" Type="http://schemas.openxmlformats.org/officeDocument/2006/relationships/hyperlink" Target="https://doi.org/10.1088/1748-9326/9/3/034011" TargetMode="External"/><Relationship Id="rId29" Type="http://schemas.openxmlformats.org/officeDocument/2006/relationships/hyperlink" Target="C:/Users/paola/Tesis/04_Bibliography/Fenolog&#237;a 24 amenazasa/pdf.pdf" TargetMode="External"/><Relationship Id="rId16" Type="http://schemas.openxmlformats.org/officeDocument/2006/relationships/hyperlink" Target="https://doi.org/10.1088/1748-9326/9/3/034011" TargetMode="External"/><Relationship Id="rId30" Type="http://schemas.openxmlformats.org/officeDocument/2006/relationships/hyperlink" Target="C:/Users/paola/Tesis/04_Bibliography/Fenolog&#237;a 24 amenazasa/pdf.pdf" TargetMode="External"/><Relationship Id="rId17" Type="http://schemas.openxmlformats.org/officeDocument/2006/relationships/hyperlink" Target="https://doi.org/10.3390/agronomy11071430" TargetMode="External"/><Relationship Id="rId49" Type="http://schemas.openxmlformats.org/officeDocument/2006/relationships/hyperlink" Target="C:/Users/paola/Tesis/04_Bibliography/Fenolog&#237;a 24 amenazasa/agronomy-11-01430-v3.pdf" TargetMode="External"/><Relationship Id="rId18" Type="http://schemas.openxmlformats.org/officeDocument/2006/relationships/hyperlink" Target="https://doi.org/10.3390/agronomy11071430" TargetMode="External"/><Relationship Id="rId50" Type="http://schemas.openxmlformats.org/officeDocument/2006/relationships/hyperlink" Target="C:/Users/paola/Tesis/04_Bibliography/Fenolog&#237;a 24 amenazasa/agronomy-11-01430-v3.pdf" TargetMode="External"/><Relationship Id="rId19" Type="http://schemas.openxmlformats.org/officeDocument/2006/relationships/hyperlink" Target="https://doi.org/10.1038/s41598-024-58826-w" TargetMode="External"/><Relationship Id="rId31" Type="http://schemas.openxmlformats.org/officeDocument/2006/relationships/hyperlink" Target="C:/Users/paola/Tesis/04_Bibliography/Fenolog&#237;a 24 amenazasa/s41598-024-58826-w.pdf" TargetMode="External"/><Relationship Id="rId20" Type="http://schemas.openxmlformats.org/officeDocument/2006/relationships/hyperlink" Target="https://bookstore.ksre.ksu.edu/pubs/c646.pdf" TargetMode="External"/><Relationship Id="rId51" Type="http://schemas.openxmlformats.org/officeDocument/2006/relationships/hyperlink" Target="C:/Users/paola/Tesis/04_Bibliography/Fenolog&#237;a 24 amenazasa/spring-freeze-injury-to-kansas-wheat_C646.pdf" TargetMode="External"/><Relationship Id="rId21" Type="http://schemas.openxmlformats.org/officeDocument/2006/relationships/hyperlink" Target="https://bookstore.ksre.ksu.edu/pubs/c646.pdf" TargetMode="External"/><Relationship Id="rId52" Type="http://schemas.openxmlformats.org/officeDocument/2006/relationships/hyperlink" Target="C:/Users/paola/Tesis/04_Bibliography/Fenolog&#237;a 24 amenazasa/spring-freeze-injury-to-kansas-wheat_C646.pdf" TargetMode="External"/><Relationship Id="rId22" Type="http://schemas.openxmlformats.org/officeDocument/2006/relationships/hyperlink" Target="https://bookstore.ksre.ksu.edu/pubs/c646.pdf" TargetMode="External"/><Relationship Id="rId53" Type="http://schemas.openxmlformats.org/officeDocument/2006/relationships/hyperlink" Target="C:/Users/paola/Tesis/04_Bibliography/Fenolog&#237;a 24 amenazasa/spring-freeze-injury-to-kansas-wheat_C646.pdf" TargetMode="External"/><Relationship Id="rId23" Type="http://schemas.openxmlformats.org/officeDocument/2006/relationships/hyperlink" Target="https://bookstore.ksre.ksu.edu/pubs/c646.pdf" TargetMode="External"/><Relationship Id="rId54" Type="http://schemas.openxmlformats.org/officeDocument/2006/relationships/hyperlink" Target="C:/Users/paola/Tesis/04_Bibliography/Fenolog&#237;a 24 amenazasa/spring-freeze-injury-to-kansas-wheat_C646.pdf" TargetMode="External"/><Relationship Id="rId24" Type="http://schemas.openxmlformats.org/officeDocument/2006/relationships/hyperlink" Target="https://doi.org/10.1017/S0960258515000392" TargetMode="External"/><Relationship Id="rId32" Type="http://schemas.openxmlformats.org/officeDocument/2006/relationships/hyperlink" Target="C:/Users/paola/Tesis/04_Bibliography/Fenolog&#237;a 24 amenazasa/effect-of-simulated-rainfall-during-wheat-seed-development-and-maturation-on-subsequent-seed-longevity-is-reversible.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bookstore.ksre.ksu.edu/pubs/c646.pdf" TargetMode="External"/><Relationship Id="rId18" Type="http://schemas.openxmlformats.org/officeDocument/2006/relationships/hyperlink" Target="../../../Documents/ChatGPT/Tesis/work_homologacion/cobertura_fuentes/Shroyer_1995.pdf" TargetMode="External"/><Relationship Id="rId26" Type="http://schemas.openxmlformats.org/officeDocument/2006/relationships/hyperlink" Target="../../../Documents/ChatGPT/Tesis/work_homologacion/cobertura_fuentes/Shroyer_1995.pdf" TargetMode="External"/><Relationship Id="rId3" Type="http://schemas.openxmlformats.org/officeDocument/2006/relationships/hyperlink" Target="https://books.irri.org/9711040522_content.pdf" TargetMode="External"/><Relationship Id="rId21" Type="http://schemas.openxmlformats.org/officeDocument/2006/relationships/hyperlink" Target="https://bookstore.ksre.ksu.edu/pubs/c646.pdf" TargetMode="External"/><Relationship Id="rId34" Type="http://schemas.openxmlformats.org/officeDocument/2006/relationships/hyperlink" Target="../../../Documents/ChatGPT/Tesis/work_homologacion/cobertura_fuentes/Joseph_2020.pdf" TargetMode="External"/><Relationship Id="rId7" Type="http://schemas.openxmlformats.org/officeDocument/2006/relationships/hyperlink" Target="https://doi.org/10.5194/esd-16-1971-2025" TargetMode="External"/><Relationship Id="rId12" Type="http://schemas.openxmlformats.org/officeDocument/2006/relationships/hyperlink" Target="../../../Documents/ChatGPT/Tesis/work_homologacion/cobertura_fuentes/Sun_2025.pdf" TargetMode="External"/><Relationship Id="rId17" Type="http://schemas.openxmlformats.org/officeDocument/2006/relationships/hyperlink" Target="https://bookstore.ksre.ksu.edu/pubs/c646.pdf" TargetMode="External"/><Relationship Id="rId25" Type="http://schemas.openxmlformats.org/officeDocument/2006/relationships/hyperlink" Target="https://bookstore.ksre.ksu.edu/pubs/c646.pdf" TargetMode="External"/><Relationship Id="rId33" Type="http://schemas.openxmlformats.org/officeDocument/2006/relationships/hyperlink" Target="https://doi.org/10.1016/j.jweia.2020.104169" TargetMode="External"/><Relationship Id="rId2" Type="http://schemas.openxmlformats.org/officeDocument/2006/relationships/hyperlink" Target="https://doi.org/10.3390/agronomy15071545" TargetMode="External"/><Relationship Id="rId16" Type="http://schemas.openxmlformats.org/officeDocument/2006/relationships/hyperlink" Target="../../../Documents/ChatGPT/Tesis/work_homologacion/cobertura_fuentes/Shroyer_1995.pdf" TargetMode="External"/><Relationship Id="rId20" Type="http://schemas.openxmlformats.org/officeDocument/2006/relationships/hyperlink" Target="../../../Documents/ChatGPT/Tesis/work_homologacion/cobertura_fuentes/Shroyer_1995.pdf" TargetMode="External"/><Relationship Id="rId29" Type="http://schemas.openxmlformats.org/officeDocument/2006/relationships/hyperlink" Target="https://soybeanscienceforsuccess.org/2026/09/29/heat-stress-in-soybean/" TargetMode="External"/><Relationship Id="rId1" Type="http://schemas.openxmlformats.org/officeDocument/2006/relationships/hyperlink" Target="https://doi.org/10.3390/agronomy15071545" TargetMode="External"/><Relationship Id="rId6" Type="http://schemas.openxmlformats.org/officeDocument/2006/relationships/hyperlink" Target="../../../Documents/ChatGPT/Tesis/work_homologacion/cobertura_fuentes/Yoshida_1981.pdf" TargetMode="External"/><Relationship Id="rId11" Type="http://schemas.openxmlformats.org/officeDocument/2006/relationships/hyperlink" Target="https://doi.org/10.5194/esd-16-1971-2025" TargetMode="External"/><Relationship Id="rId24" Type="http://schemas.openxmlformats.org/officeDocument/2006/relationships/hyperlink" Target="../../../Documents/ChatGPT/Tesis/work_homologacion/cobertura_fuentes/Shroyer_1995.pdf" TargetMode="External"/><Relationship Id="rId32" Type="http://schemas.openxmlformats.org/officeDocument/2006/relationships/hyperlink" Target="../../../Documents/ChatGPT/Tesis/work_homologacion/cobertura_fuentes/Joseph_2020.pdf" TargetMode="External"/><Relationship Id="rId5" Type="http://schemas.openxmlformats.org/officeDocument/2006/relationships/hyperlink" Target="https://books.irri.org/9711040522_content.pdf" TargetMode="External"/><Relationship Id="rId15" Type="http://schemas.openxmlformats.org/officeDocument/2006/relationships/hyperlink" Target="https://bookstore.ksre.ksu.edu/pubs/c646.pdf" TargetMode="External"/><Relationship Id="rId23" Type="http://schemas.openxmlformats.org/officeDocument/2006/relationships/hyperlink" Target="https://bookstore.ksre.ksu.edu/pubs/c646.pdf" TargetMode="External"/><Relationship Id="rId28" Type="http://schemas.openxmlformats.org/officeDocument/2006/relationships/hyperlink" Target="https://soybeanscienceforsuccess.org/2026/09/29/heat-stress-in-soybean/" TargetMode="External"/><Relationship Id="rId10" Type="http://schemas.openxmlformats.org/officeDocument/2006/relationships/hyperlink" Target="../../../Documents/ChatGPT/Tesis/work_homologacion/cobertura_fuentes/Sun_2025.pdf" TargetMode="External"/><Relationship Id="rId19" Type="http://schemas.openxmlformats.org/officeDocument/2006/relationships/hyperlink" Target="https://bookstore.ksre.ksu.edu/pubs/c646.pdf" TargetMode="External"/><Relationship Id="rId31" Type="http://schemas.openxmlformats.org/officeDocument/2006/relationships/hyperlink" Target="https://doi.org/10.1016/j.jweia.2020.104169" TargetMode="External"/><Relationship Id="rId4" Type="http://schemas.openxmlformats.org/officeDocument/2006/relationships/hyperlink" Target="../../../Documents/ChatGPT/Tesis/work_homologacion/cobertura_fuentes/Yoshida_1981.pdf" TargetMode="External"/><Relationship Id="rId9" Type="http://schemas.openxmlformats.org/officeDocument/2006/relationships/hyperlink" Target="https://doi.org/10.5194/esd-16-1971-2025" TargetMode="External"/><Relationship Id="rId14" Type="http://schemas.openxmlformats.org/officeDocument/2006/relationships/hyperlink" Target="../../../Documents/ChatGPT/Tesis/work_homologacion/cobertura_fuentes/Shroyer_1995.pdf" TargetMode="External"/><Relationship Id="rId22" Type="http://schemas.openxmlformats.org/officeDocument/2006/relationships/hyperlink" Target="../../../Documents/ChatGPT/Tesis/work_homologacion/cobertura_fuentes/Shroyer_1995.pdf" TargetMode="External"/><Relationship Id="rId27" Type="http://schemas.openxmlformats.org/officeDocument/2006/relationships/hyperlink" Target="https://soybeanscienceforsuccess.org/2026/09/29/heat-stress-in-soybean/" TargetMode="External"/><Relationship Id="rId30" Type="http://schemas.openxmlformats.org/officeDocument/2006/relationships/hyperlink" Target="https://soybeanscienceforsuccess.org/2026/09/29/heat-stress-in-soybean/" TargetMode="External"/><Relationship Id="rId35" Type="http://schemas.openxmlformats.org/officeDocument/2006/relationships/table" Target="../tables/table2.xml"/><Relationship Id="rId8" Type="http://schemas.openxmlformats.org/officeDocument/2006/relationships/hyperlink" Target="../../../Documents/ChatGPT/Tesis/work_homologacion/cobertura_fuentes/Sun_2025.pdf" TargetMode="External"/><Relationship Id="rId36" Type="http://schemas.openxmlformats.org/officeDocument/2006/relationships/hyperlink" Target="C:/Users/paola/Documents/ChatGPT/Tesis/outputs/investigacion_7_pendientes_2026-10-06/Ortega_2019.pdf" TargetMode="External"/><Relationship Id="rId37" Type="http://schemas.openxmlformats.org/officeDocument/2006/relationships/hyperlink" Target="https://doi.org/10.21640/ns.v11i22.1682" TargetMode="External"/><Relationship Id="rId38" Type="http://schemas.openxmlformats.org/officeDocument/2006/relationships/hyperlink" Target="C:/Users/paola/Documents/ChatGPT/Tesis/outputs/investigacion_7_pendientes_2026-10-06/Mourtzinis_2019.pdf" TargetMode="External"/><Relationship Id="rId39" Type="http://schemas.openxmlformats.org/officeDocument/2006/relationships/hyperlink" Target="https://www.nature.com/articles/s41598-019-38971-3" TargetMode="External"/><Relationship Id="rId40" Type="http://schemas.openxmlformats.org/officeDocument/2006/relationships/hyperlink" Target="C:/Users/paola/Documents/ChatGPT/Tesis/outputs/investigacion_7_pendientes_2026-10-06/Herritt_Fritschi_2020.pdf" TargetMode="External"/><Relationship Id="rId41" Type="http://schemas.openxmlformats.org/officeDocument/2006/relationships/hyperlink" Target="https://www.frontiersin.org/journals/plant-science/articles/10.3389/fpls.2020.00153/full" TargetMode="External"/><Relationship Id="rId42" Type="http://schemas.openxmlformats.org/officeDocument/2006/relationships/hyperlink" Target="C:/Users/paola/Documents/ChatGPT/Tesis/outputs/investigacion_7_pendientes_2026-10-06/Deryng_2014.pdf" TargetMode="External"/><Relationship Id="rId43" Type="http://schemas.openxmlformats.org/officeDocument/2006/relationships/hyperlink" Target="https://doi.org/10.1088/1748-9326/9/3/034011" TargetMode="External"/><Relationship Id="rId44" Type="http://schemas.openxmlformats.org/officeDocument/2006/relationships/hyperlink" Target="C:/Users/paola/Documents/ChatGPT/Tesis/outputs/investigacion_7_pendientes_2026-10-06/Deryng_2014.pdf" TargetMode="External"/><Relationship Id="rId45" Type="http://schemas.openxmlformats.org/officeDocument/2006/relationships/hyperlink" Target="https://doi.org/10.1088/1748-9326/9/3/034011" TargetMode="External"/><Relationship Id="rId46" Type="http://schemas.openxmlformats.org/officeDocument/2006/relationships/hyperlink" Target="C:/Users/paola/Documents/ChatGPT/Tesis/outputs/investigacion_7_pendientes_2026-10-06/Le_Roux_2024.pdf" TargetMode="External"/><Relationship Id="rId47" Type="http://schemas.openxmlformats.org/officeDocument/2006/relationships/hyperlink" Target="https://www.nature.com/articles/s41598-024-58826-w" TargetMode="External"/><Relationship Id="rId48" Type="http://schemas.openxmlformats.org/officeDocument/2006/relationships/hyperlink" Target="C:/Users/paola/Documents/ChatGPT/Tesis/outputs/investigacion_7_pendientes_2026-10-06/Ellis_Yadav_2016.pdf" TargetMode="External"/><Relationship Id="rId49" Type="http://schemas.openxmlformats.org/officeDocument/2006/relationships/hyperlink" Target="https://doi.org/10.1017/S0960258515000392"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i.org/10.5194/esd-16-1971-2025" TargetMode="External"/><Relationship Id="rId21" Type="http://schemas.openxmlformats.org/officeDocument/2006/relationships/hyperlink" Target="https://doi.org/10.5194/esd-16-1971-2025" TargetMode="External"/><Relationship Id="rId42" Type="http://schemas.openxmlformats.org/officeDocument/2006/relationships/hyperlink" Target="https://doi.org/10.3390/su15010738" TargetMode="External"/><Relationship Id="rId47" Type="http://schemas.openxmlformats.org/officeDocument/2006/relationships/hyperlink" Target="https://doi.org/10.1038/ncomms13931" TargetMode="External"/><Relationship Id="rId63" Type="http://schemas.openxmlformats.org/officeDocument/2006/relationships/hyperlink" Target="https://doi.org/10.1038/ncomms13931" TargetMode="External"/><Relationship Id="rId68" Type="http://schemas.openxmlformats.org/officeDocument/2006/relationships/hyperlink" Target="https://doi.org/10.1007/s13593-017-0443-9" TargetMode="External"/><Relationship Id="rId84" Type="http://schemas.openxmlformats.org/officeDocument/2006/relationships/hyperlink" Target="https://europepmc.org/articles/PMC11172332" TargetMode="External"/><Relationship Id="rId89" Type="http://schemas.openxmlformats.org/officeDocument/2006/relationships/hyperlink" Target="https://doi.org/10.5194/esd-16-1971-2025" TargetMode="External"/><Relationship Id="rId16" Type="http://schemas.openxmlformats.org/officeDocument/2006/relationships/hyperlink" Target="https://europepmc.org/articles/PMC11782181" TargetMode="External"/><Relationship Id="rId11" Type="http://schemas.openxmlformats.org/officeDocument/2006/relationships/hyperlink" Target="https://doi.org/10.1016/j.xplc.2023.100629" TargetMode="External"/><Relationship Id="rId32" Type="http://schemas.openxmlformats.org/officeDocument/2006/relationships/hyperlink" Target="https://doi.org/10.1038/s41598-019-40161-0" TargetMode="External"/><Relationship Id="rId37" Type="http://schemas.openxmlformats.org/officeDocument/2006/relationships/hyperlink" Target="https://doi.org/10.5194/esd-16-1971-2025" TargetMode="External"/><Relationship Id="rId53" Type="http://schemas.openxmlformats.org/officeDocument/2006/relationships/hyperlink" Target="https://doi.org/10.3390/su15010738" TargetMode="External"/><Relationship Id="rId58" Type="http://schemas.openxmlformats.org/officeDocument/2006/relationships/hyperlink" Target="https://doi.org/10.3390/agriculture13040844" TargetMode="External"/><Relationship Id="rId74" Type="http://schemas.openxmlformats.org/officeDocument/2006/relationships/hyperlink" Target="https://doi.org/10.3390/atmos13040596" TargetMode="External"/><Relationship Id="rId79" Type="http://schemas.openxmlformats.org/officeDocument/2006/relationships/hyperlink" Target="https://doi.org/10.1016/j.xplc.2023.100629" TargetMode="External"/><Relationship Id="rId102" Type="http://schemas.openxmlformats.org/officeDocument/2006/relationships/hyperlink" Target="https://soybeanscienceforsuccess.org/2026/09/29/heat-stress-in-soybean/" TargetMode="External"/><Relationship Id="rId5" Type="http://schemas.openxmlformats.org/officeDocument/2006/relationships/hyperlink" Target="https://doi.org/10.3390/agronomy15071545" TargetMode="External"/><Relationship Id="rId90" Type="http://schemas.openxmlformats.org/officeDocument/2006/relationships/hyperlink" Target="https://doi.org/10.5194/esd-16-1971-2025" TargetMode="External"/><Relationship Id="rId95" Type="http://schemas.openxmlformats.org/officeDocument/2006/relationships/hyperlink" Target="https://bookstore.ksre.ksu.edu/pubs/c646.pdf" TargetMode="External"/><Relationship Id="rId22" Type="http://schemas.openxmlformats.org/officeDocument/2006/relationships/hyperlink" Target="https://doi.org/10.3390/agronomy13102574" TargetMode="External"/><Relationship Id="rId27" Type="http://schemas.openxmlformats.org/officeDocument/2006/relationships/hyperlink" Target="https://doi.org/10.5194/esd-16-1971-2025" TargetMode="External"/><Relationship Id="rId43" Type="http://schemas.openxmlformats.org/officeDocument/2006/relationships/hyperlink" Target="https://doi.org/10.1038/ncomms13931" TargetMode="External"/><Relationship Id="rId48" Type="http://schemas.openxmlformats.org/officeDocument/2006/relationships/hyperlink" Target="https://doi.org/10.1038/ncomms13931" TargetMode="External"/><Relationship Id="rId64" Type="http://schemas.openxmlformats.org/officeDocument/2006/relationships/hyperlink" Target="https://doi.org/10.3389/fpls.2023.1099621" TargetMode="External"/><Relationship Id="rId69" Type="http://schemas.openxmlformats.org/officeDocument/2006/relationships/hyperlink" Target="https://doi.org/10.3390/agriculture12091500" TargetMode="External"/><Relationship Id="rId80" Type="http://schemas.openxmlformats.org/officeDocument/2006/relationships/hyperlink" Target="https://doi.org/10.1093/jxb/erv161" TargetMode="External"/><Relationship Id="rId85" Type="http://schemas.openxmlformats.org/officeDocument/2006/relationships/hyperlink" Target="https://doi.org/10.3390/agronomy15071545" TargetMode="External"/><Relationship Id="rId12" Type="http://schemas.openxmlformats.org/officeDocument/2006/relationships/hyperlink" Target="https://doi.org/10.1016/j.xplc.2023.100629" TargetMode="External"/><Relationship Id="rId17" Type="http://schemas.openxmlformats.org/officeDocument/2006/relationships/hyperlink" Target="https://europepmc.org/articles/PMC11782181" TargetMode="External"/><Relationship Id="rId33" Type="http://schemas.openxmlformats.org/officeDocument/2006/relationships/hyperlink" Target="https://doi.org/10.5194/esd-16-1971-2025" TargetMode="External"/><Relationship Id="rId38" Type="http://schemas.openxmlformats.org/officeDocument/2006/relationships/hyperlink" Target="https://europepmc.org/articles/PMC12535988" TargetMode="External"/><Relationship Id="rId59" Type="http://schemas.openxmlformats.org/officeDocument/2006/relationships/hyperlink" Target="https://doi.org/10.3390/su15010738" TargetMode="External"/><Relationship Id="rId103" Type="http://schemas.openxmlformats.org/officeDocument/2006/relationships/hyperlink" Target="https://doi.org/10.1016/j.jweia.2020.104169" TargetMode="External"/><Relationship Id="rId20" Type="http://schemas.openxmlformats.org/officeDocument/2006/relationships/hyperlink" Target="https://europepmc.org/articles/PMC9496009" TargetMode="External"/><Relationship Id="rId41" Type="http://schemas.openxmlformats.org/officeDocument/2006/relationships/hyperlink" Target="https://doi.org/10.1007/s11104-025-07814-8" TargetMode="External"/><Relationship Id="rId54" Type="http://schemas.openxmlformats.org/officeDocument/2006/relationships/hyperlink" Target="https://doi.org/10.1038/ncomms13931" TargetMode="External"/><Relationship Id="rId62" Type="http://schemas.openxmlformats.org/officeDocument/2006/relationships/hyperlink" Target="https://doi.org/10.3389/fpls.2023.1099621" TargetMode="External"/><Relationship Id="rId70" Type="http://schemas.openxmlformats.org/officeDocument/2006/relationships/hyperlink" Target="https://doi.org/10.3390/agriculture12091500" TargetMode="External"/><Relationship Id="rId75" Type="http://schemas.openxmlformats.org/officeDocument/2006/relationships/hyperlink" Target="https://europepmc.org/articles/PMC5263156" TargetMode="External"/><Relationship Id="rId83" Type="http://schemas.openxmlformats.org/officeDocument/2006/relationships/hyperlink" Target="https://doi.org/10.1093/jxb/erv161" TargetMode="External"/><Relationship Id="rId88" Type="http://schemas.openxmlformats.org/officeDocument/2006/relationships/hyperlink" Target="https://books.irri.org/9711040522_content.pdf" TargetMode="External"/><Relationship Id="rId91" Type="http://schemas.openxmlformats.org/officeDocument/2006/relationships/hyperlink" Target="https://doi.org/10.5194/esd-16-1971-2025" TargetMode="External"/><Relationship Id="rId96" Type="http://schemas.openxmlformats.org/officeDocument/2006/relationships/hyperlink" Target="https://bookstore.ksre.ksu.edu/pubs/c646.pdf" TargetMode="External"/><Relationship Id="rId1" Type="http://schemas.openxmlformats.org/officeDocument/2006/relationships/hyperlink" Target="https://doi.org/10.1016/j.eja.2025.127729" TargetMode="External"/><Relationship Id="rId6" Type="http://schemas.openxmlformats.org/officeDocument/2006/relationships/hyperlink" Target="https://doi.org/10.1371/journal.pone.0340773" TargetMode="External"/><Relationship Id="rId15" Type="http://schemas.openxmlformats.org/officeDocument/2006/relationships/hyperlink" Target="https://doi.org/10.3390/agronomy13082126" TargetMode="External"/><Relationship Id="rId23" Type="http://schemas.openxmlformats.org/officeDocument/2006/relationships/hyperlink" Target="https://doi.org/10.1007/s00425-010-1198-z" TargetMode="External"/><Relationship Id="rId28" Type="http://schemas.openxmlformats.org/officeDocument/2006/relationships/hyperlink" Target="https://doi.org/10.1007/s00425-010-1198-z" TargetMode="External"/><Relationship Id="rId36" Type="http://schemas.openxmlformats.org/officeDocument/2006/relationships/hyperlink" Target="https://doi.org/10.5194/esd-16-1971-2025" TargetMode="External"/><Relationship Id="rId49" Type="http://schemas.openxmlformats.org/officeDocument/2006/relationships/hyperlink" Target="https://doi.org/10.3390/agronomy12051115" TargetMode="External"/><Relationship Id="rId57" Type="http://schemas.openxmlformats.org/officeDocument/2006/relationships/hyperlink" Target="https://doi.org/10.1111/pce.13421" TargetMode="External"/><Relationship Id="rId10" Type="http://schemas.openxmlformats.org/officeDocument/2006/relationships/hyperlink" Target="https://doi.org/10.1093/jxb/erx381" TargetMode="External"/><Relationship Id="rId31" Type="http://schemas.openxmlformats.org/officeDocument/2006/relationships/hyperlink" Target="https://doi.org/10.1016/j.xplc.2023.100629" TargetMode="External"/><Relationship Id="rId44" Type="http://schemas.openxmlformats.org/officeDocument/2006/relationships/hyperlink" Target="https://doi.org/10.1002/agg2.20576" TargetMode="External"/><Relationship Id="rId52" Type="http://schemas.openxmlformats.org/officeDocument/2006/relationships/hyperlink" Target="https://doi.org/10.3390/su15010738" TargetMode="External"/><Relationship Id="rId60" Type="http://schemas.openxmlformats.org/officeDocument/2006/relationships/hyperlink" Target="https://doi.org/10.3390/su15010738" TargetMode="External"/><Relationship Id="rId65" Type="http://schemas.openxmlformats.org/officeDocument/2006/relationships/hyperlink" Target="https://doi.org/10.3390/su15010738" TargetMode="External"/><Relationship Id="rId73" Type="http://schemas.openxmlformats.org/officeDocument/2006/relationships/hyperlink" Target="https://doi.org/10.3390/atmos13040596" TargetMode="External"/><Relationship Id="rId78" Type="http://schemas.openxmlformats.org/officeDocument/2006/relationships/hyperlink" Target="https://doi.org/10.1016/j.xplc.2023.100629" TargetMode="External"/><Relationship Id="rId81" Type="http://schemas.openxmlformats.org/officeDocument/2006/relationships/hyperlink" Target="https://doi.org/10.3389/fpls.2022.944308" TargetMode="External"/><Relationship Id="rId86" Type="http://schemas.openxmlformats.org/officeDocument/2006/relationships/hyperlink" Target="https://doi.org/10.3390/agronomy15071545" TargetMode="External"/><Relationship Id="rId94" Type="http://schemas.openxmlformats.org/officeDocument/2006/relationships/hyperlink" Target="https://bookstore.ksre.ksu.edu/pubs/c646.pdf" TargetMode="External"/><Relationship Id="rId99" Type="http://schemas.openxmlformats.org/officeDocument/2006/relationships/hyperlink" Target="https://soybeanscienceforsuccess.org/2026/09/29/heat-stress-in-soybean/" TargetMode="External"/><Relationship Id="rId101" Type="http://schemas.openxmlformats.org/officeDocument/2006/relationships/hyperlink" Target="https://soybeanscienceforsuccess.org/2026/09/29/heat-stress-in-soybean/" TargetMode="External"/><Relationship Id="rId4" Type="http://schemas.openxmlformats.org/officeDocument/2006/relationships/hyperlink" Target="https://doi.org/10.3390/agronomy15071545" TargetMode="External"/><Relationship Id="rId9" Type="http://schemas.openxmlformats.org/officeDocument/2006/relationships/hyperlink" Target="https://doi.org/10.1016/j.eja.2025.127729" TargetMode="External"/><Relationship Id="rId13" Type="http://schemas.openxmlformats.org/officeDocument/2006/relationships/hyperlink" Target="https://doi.org/10.3390/agronomy13082126" TargetMode="External"/><Relationship Id="rId18" Type="http://schemas.openxmlformats.org/officeDocument/2006/relationships/hyperlink" Target="https://doi.org/10.3389/fpls.2026.1826388" TargetMode="External"/><Relationship Id="rId39" Type="http://schemas.openxmlformats.org/officeDocument/2006/relationships/hyperlink" Target="https://doi.org/10.1038/ncomms13931" TargetMode="External"/><Relationship Id="rId34" Type="http://schemas.openxmlformats.org/officeDocument/2006/relationships/hyperlink" Target="https://doi.org/10.3389/fpls.2017.01350" TargetMode="External"/><Relationship Id="rId50" Type="http://schemas.openxmlformats.org/officeDocument/2006/relationships/hyperlink" Target="https://doi.org/10.3390/su15010738" TargetMode="External"/><Relationship Id="rId55" Type="http://schemas.openxmlformats.org/officeDocument/2006/relationships/hyperlink" Target="https://doi.org/10.1016/S1161-0301(96)02011-4" TargetMode="External"/><Relationship Id="rId76" Type="http://schemas.openxmlformats.org/officeDocument/2006/relationships/hyperlink" Target="https://europepmc.org/articles/PMC6482243" TargetMode="External"/><Relationship Id="rId97" Type="http://schemas.openxmlformats.org/officeDocument/2006/relationships/hyperlink" Target="https://bookstore.ksre.ksu.edu/pubs/c646.pdf" TargetMode="External"/><Relationship Id="rId104" Type="http://schemas.openxmlformats.org/officeDocument/2006/relationships/hyperlink" Target="https://doi.org/10.1016/j.jweia.2020.104169" TargetMode="External"/><Relationship Id="rId7" Type="http://schemas.openxmlformats.org/officeDocument/2006/relationships/hyperlink" Target="https://europepmc.org/articles/PMC6405865" TargetMode="External"/><Relationship Id="rId71" Type="http://schemas.openxmlformats.org/officeDocument/2006/relationships/hyperlink" Target="https://doi.org/10.1007/s13593-017-0443-9" TargetMode="External"/><Relationship Id="rId92" Type="http://schemas.openxmlformats.org/officeDocument/2006/relationships/hyperlink" Target="https://bookstore.ksre.ksu.edu/pubs/c646.pdf" TargetMode="External"/><Relationship Id="rId2" Type="http://schemas.openxmlformats.org/officeDocument/2006/relationships/hyperlink" Target="https://doi.org/10.1016/j.eja.2025.127729" TargetMode="External"/><Relationship Id="rId29" Type="http://schemas.openxmlformats.org/officeDocument/2006/relationships/hyperlink" Target="https://doi.org/10.5194/esd-16-1971-2025" TargetMode="External"/><Relationship Id="rId24" Type="http://schemas.openxmlformats.org/officeDocument/2006/relationships/hyperlink" Target="https://doi.org/10.1007/s00425-010-1198-z" TargetMode="External"/><Relationship Id="rId40" Type="http://schemas.openxmlformats.org/officeDocument/2006/relationships/hyperlink" Target="https://hdl.handle.net/11668/20905" TargetMode="External"/><Relationship Id="rId45" Type="http://schemas.openxmlformats.org/officeDocument/2006/relationships/hyperlink" Target="https://doi.org/10.5433/1679-0359.2022v43n6p2449" TargetMode="External"/><Relationship Id="rId66" Type="http://schemas.openxmlformats.org/officeDocument/2006/relationships/hyperlink" Target="https://doi.org/10.3390/agronomy11071430" TargetMode="External"/><Relationship Id="rId87" Type="http://schemas.openxmlformats.org/officeDocument/2006/relationships/hyperlink" Target="https://books.irri.org/9711040522_content.pdf" TargetMode="External"/><Relationship Id="rId61" Type="http://schemas.openxmlformats.org/officeDocument/2006/relationships/hyperlink" Target="https://doi.org/10.1038/ncomms13931" TargetMode="External"/><Relationship Id="rId82" Type="http://schemas.openxmlformats.org/officeDocument/2006/relationships/hyperlink" Target="https://doi.org/10.1038/s41598-020-79179-0" TargetMode="External"/><Relationship Id="rId19" Type="http://schemas.openxmlformats.org/officeDocument/2006/relationships/hyperlink" Target="https://europepmc.org/articles/PMC7641793" TargetMode="External"/><Relationship Id="rId14" Type="http://schemas.openxmlformats.org/officeDocument/2006/relationships/hyperlink" Target="https://doi.org/10.1088/1748-9326/ab7b22" TargetMode="External"/><Relationship Id="rId30" Type="http://schemas.openxmlformats.org/officeDocument/2006/relationships/hyperlink" Target="https://doi.org/10.1016/j.xplc.2023.100629" TargetMode="External"/><Relationship Id="rId35" Type="http://schemas.openxmlformats.org/officeDocument/2006/relationships/hyperlink" Target="https://doi.org/10.5194/esd-16-1971-2025" TargetMode="External"/><Relationship Id="rId56" Type="http://schemas.openxmlformats.org/officeDocument/2006/relationships/hyperlink" Target="https://doi.org/10.1016/S1161-0301(96)02011-4" TargetMode="External"/><Relationship Id="rId77" Type="http://schemas.openxmlformats.org/officeDocument/2006/relationships/hyperlink" Target="https://doi.org/10.1093/jxb/erv161" TargetMode="External"/><Relationship Id="rId100" Type="http://schemas.openxmlformats.org/officeDocument/2006/relationships/hyperlink" Target="https://soybeanscienceforsuccess.org/2026/09/29/heat-stress-in-soybean/" TargetMode="External"/><Relationship Id="rId105" Type="http://schemas.openxmlformats.org/officeDocument/2006/relationships/table" Target="../tables/table3.xml"/><Relationship Id="rId8" Type="http://schemas.openxmlformats.org/officeDocument/2006/relationships/hyperlink" Target="https://doi.org/10.1016/j.eja.2025.127729" TargetMode="External"/><Relationship Id="rId51" Type="http://schemas.openxmlformats.org/officeDocument/2006/relationships/hyperlink" Target="https://doi.org/10.3390/su15010738" TargetMode="External"/><Relationship Id="rId72" Type="http://schemas.openxmlformats.org/officeDocument/2006/relationships/hyperlink" Target="https://europepmc.org/articles/PMC9921141" TargetMode="External"/><Relationship Id="rId93" Type="http://schemas.openxmlformats.org/officeDocument/2006/relationships/hyperlink" Target="https://bookstore.ksre.ksu.edu/pubs/c646.pdf" TargetMode="External"/><Relationship Id="rId98" Type="http://schemas.openxmlformats.org/officeDocument/2006/relationships/hyperlink" Target="https://bookstore.ksre.ksu.edu/pubs/c646.pdf" TargetMode="External"/><Relationship Id="rId3" Type="http://schemas.openxmlformats.org/officeDocument/2006/relationships/hyperlink" Target="https://doi.org/10.3390/agronomy15071545" TargetMode="External"/><Relationship Id="rId25" Type="http://schemas.openxmlformats.org/officeDocument/2006/relationships/hyperlink" Target="https://doi.org/10.1007/s00425-010-1198-z" TargetMode="External"/><Relationship Id="rId46" Type="http://schemas.openxmlformats.org/officeDocument/2006/relationships/hyperlink" Target="https://doi.org/10.3390/su15010738" TargetMode="External"/><Relationship Id="rId67" Type="http://schemas.openxmlformats.org/officeDocument/2006/relationships/hyperlink" Target="https://doi.org/10.1038/ncomms13931" TargetMode="External"/><Relationship Id="rId106" Type="http://schemas.openxmlformats.org/officeDocument/2006/relationships/hyperlink" Target="https://doi.org/10.21640/ns.v11i22.1682" TargetMode="External"/><Relationship Id="rId107" Type="http://schemas.openxmlformats.org/officeDocument/2006/relationships/hyperlink" Target="https://www.nature.com/articles/s41598-019-38971-3" TargetMode="External"/><Relationship Id="rId108" Type="http://schemas.openxmlformats.org/officeDocument/2006/relationships/hyperlink" Target="https://www.frontiersin.org/journals/plant-science/articles/10.3389/fpls.2020.00153/full" TargetMode="External"/><Relationship Id="rId109" Type="http://schemas.openxmlformats.org/officeDocument/2006/relationships/hyperlink" Target="https://doi.org/10.1088/1748-9326/9/3/034011" TargetMode="External"/><Relationship Id="rId110" Type="http://schemas.openxmlformats.org/officeDocument/2006/relationships/hyperlink" Target="https://doi.org/10.1088/1748-9326/9/3/034011" TargetMode="External"/><Relationship Id="rId111" Type="http://schemas.openxmlformats.org/officeDocument/2006/relationships/hyperlink" Target="https://www.nature.com/articles/s41598-024-58826-w" TargetMode="External"/><Relationship Id="rId112" Type="http://schemas.openxmlformats.org/officeDocument/2006/relationships/hyperlink" Target="https://doi.org/10.1017/S0960258515000392"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showGridLines="0" tabSelected="1" zoomScale="60" workbookViewId="0">
      <pane xSplit="2" ySplit="7" topLeftCell="C22" activePane="bottomRight" state="frozen"/>
      <selection pane="topRight"/>
      <selection pane="bottomLeft"/>
      <selection pane="bottomRight" activeCell="H13" sqref="H13:H31"/>
    </sheetView>
  </sheetViews>
  <sheetFormatPr baseColWidth="10" defaultColWidth="8.6640625" defaultRowHeight="14"/>
  <cols>
    <col min="1" max="1" width="14" customWidth="1"/>
    <col min="2" max="2" width="13" customWidth="1"/>
    <col min="3" max="3" width="25" customWidth="1"/>
    <col min="4" max="4" width="43" customWidth="1"/>
    <col min="5" max="5" width="43" customWidth="1"/>
    <col min="6" max="6" width="34" customWidth="1"/>
    <col min="7" max="7" width="60" customWidth="1"/>
    <col min="8" max="8" width="43" customWidth="1"/>
    <col min="9" max="9" width="42" customWidth="1"/>
    <col min="10" max="10" width="76" customWidth="1"/>
    <col min="11" max="11" width="28" customWidth="1"/>
    <col min="12" max="12" width="120" customWidth="1"/>
    <col min="13" max="13" width="70" customWidth="1"/>
    <col min="14" max="14" width="30" customWidth="1"/>
    <col min="15" max="15" width="75" customWidth="1"/>
  </cols>
  <sheetData>
    <row r="1" spans="1:11" ht="29" customHeight="1">
      <c r="A1" s="44" t="s">
        <v>1398</v>
      </c>
      <c r="B1" s="45"/>
      <c r="C1" s="45"/>
      <c r="D1" s="45"/>
      <c r="E1" s="45"/>
      <c r="F1" s="45"/>
      <c r="G1" s="45"/>
      <c r="H1" s="45"/>
      <c r="I1" s="45"/>
      <c r="J1" s="45"/>
      <c r="K1" s="45"/>
    </row>
    <row r="2" spans="1:11" ht="29" customHeight="1">
      <c r="A2" s="45" t="s">
        <v>1610</v>
      </c>
      <c r="B2" s="45"/>
      <c r="C2" s="45"/>
      <c r="D2" s="45"/>
      <c r="E2" s="45"/>
      <c r="F2" s="45"/>
      <c r="G2" s="45"/>
      <c r="H2" s="45"/>
      <c r="I2" s="45"/>
      <c r="J2" s="45"/>
      <c r="K2" s="45"/>
    </row>
    <row r="3" spans="1:11" ht="29" customHeight="1">
      <c r="A3" s="45" t="inlineStr">
        <is>
          <t>Revisión de24reglas: I=fuente principal; L=citas literales; M=ubicación; N=PDF de tu carpeta; O=procedencia y fuente complementaria. La evidencia sigue pendiente de tu revisión.</t>
        </is>
      </c>
      <c r="B3" s="45"/>
      <c r="C3" s="45"/>
      <c r="D3" s="45"/>
      <c r="E3" s="45"/>
      <c r="F3" s="45"/>
      <c r="G3" s="45"/>
      <c r="H3" s="45"/>
      <c r="I3" s="45"/>
      <c r="J3" s="45"/>
      <c r="K3" s="45"/>
    </row>
    <row r="4" spans="1:11" ht="29" customHeight="1">
      <c r="A4" s="45" t="s">
        <v>1399</v>
      </c>
      <c r="B4" s="45"/>
      <c r="C4" s="45"/>
      <c r="D4" s="45"/>
      <c r="E4" s="45"/>
      <c r="F4" s="45"/>
      <c r="G4" s="45"/>
      <c r="H4" s="45"/>
      <c r="I4" s="45"/>
      <c r="J4" s="45"/>
      <c r="K4" s="45"/>
    </row>
    <row r="5" spans="1:11" ht="29" customHeight="1">
      <c r="A5" s="45" t="s">
        <v>1400</v>
      </c>
      <c r="B5" s="45"/>
      <c r="C5" s="45"/>
      <c r="D5" s="45"/>
      <c r="E5" s="45"/>
      <c r="F5" s="45"/>
      <c r="G5" s="45"/>
      <c r="H5" s="45"/>
      <c r="I5" s="45"/>
      <c r="J5" s="45"/>
      <c r="K5" s="45"/>
    </row>
    <row r="6" spans="1:11">
      <c r="A6" s="37"/>
      <c r="B6" s="37"/>
      <c r="C6" s="37"/>
      <c r="D6" s="37"/>
      <c r="E6" s="37"/>
      <c r="F6" s="37"/>
      <c r="G6" s="37"/>
      <c r="H6" s="37"/>
      <c r="I6" s="37"/>
      <c r="J6" s="37"/>
      <c r="K6" s="37"/>
    </row>
    <row r="7" spans="1:11" ht="46" customHeight="1">
      <c r="A7" s="38" t="s">
        <v>1</v>
      </c>
      <c r="B7" s="38" t="s">
        <v>1401</v>
      </c>
      <c r="C7" s="38" t="s">
        <v>1402</v>
      </c>
      <c r="D7" s="38" t="s">
        <v>1403</v>
      </c>
      <c r="E7" s="38" t="s">
        <v>1404</v>
      </c>
      <c r="F7" s="38" t="s">
        <v>1405</v>
      </c>
      <c r="G7" s="38" t="s">
        <v>1406</v>
      </c>
      <c r="H7" s="38" t="s">
        <v>1407</v>
      </c>
      <c r="I7" s="38" t="s">
        <v>1408</v>
      </c>
      <c r="J7" s="38" t="s">
        <v>1612</v>
      </c>
      <c r="K7" s="38" t="s">
        <v>1409</v>
      </c>
      <c r="L7" s="38" t="inlineStr">
        <is>
          <t>Revisión: fragmentos exactos del documento</t>
        </is>
      </c>
      <c r="M7" s="38" t="inlineStr">
        <is>
          <t>Ubicación de cada fragmento / fuente</t>
        </is>
      </c>
      <c r="N7" s="38" t="inlineStr">
        <is>
          <t>Abrir PDF principal de tu carpeta</t>
        </is>
      </c>
      <c r="O7" s="38" t="inlineStr">
        <is>
          <t>Fuentes por componente / abrir otra fuente</t>
        </is>
      </c>
    </row>
    <row r="8" spans="1:11" ht="226.10000000000002" customHeight="1">
      <c r="A8" s="37" t="s">
        <v>483</v>
      </c>
      <c r="B8" s="37" t="s">
        <v>465</v>
      </c>
      <c r="C8" s="37" t="s">
        <v>1184</v>
      </c>
      <c r="D8" s="37" t="s">
        <v>1410</v>
      </c>
      <c r="E8" s="37" t="s">
        <v>1411</v>
      </c>
      <c r="F8" s="37" t="inlineStr">
        <is>
          <t>≥2d: inclusión; severidad en cita deTabla2</t>
        </is>
      </c>
      <c r="G8" s="37" t="s">
        <v>1413</v>
      </c>
      <c r="H8" s="43" t="s">
        <v>1613</v>
      </c>
      <c r="I8" s="39" t="inlineStr">
        <is>
          <t>Li et al. (2025), European Journal of Agronomy</t>
        </is>
      </c>
      <c r="J8" s="39" t="inlineStr">
        <is>
          <t>Validar transferencia regional; ventana siembra–emergencia.
Revisión documental: ≥2d es inclusión de episodios, NO categoría leve. Los rangos decimales de Tabla2 se conservan sin redondear; requieren decisión para días enteros. </t>
        </is>
      </c>
      <c r="K8" s="39" t="s">
        <v>1415</v>
      </c>
      <c r="L8" s="39" t="inlineStr">
        <is>
          <t>FASE Y UMBRAL — Li et al. (2025), European Journal of Agronomy (cita literal):
The Youden index peaked at 34 ◦ C, 34.1 ◦ C, 34.6 ◦ C, and 34.8 ◦ C for the V0-VE, VE-V6, V6-VT, and VT-R1 growth stages ( Fig. S4 ), respectively, under the test thresholds of 32 – 35 ◦ C and 33.3 – 35.4 ◦ C ( Fig. 5 a, b, d, e). Simi - larly, the Youden index reached its maximum at 33.7 ◦ C for the R1-R3 stage and at 32.9 ◦ C for the R3-R6 growth stage under the test thresh - olds of 32 – 35 ◦ C and 31.7 – 33.8 ◦ C, respectively ( Fig. 5 c, f). Therefore, the T d max values of 34, 34.1, 34.6, 34.8, 33.7, and 32.9 °C were considered the optimal trigger thresholds for determining whether heat damage occurs in summer maize at different growth stages from V0 to R6.
DURACIÓN DE INCLUSIÓN — Li et al. (2025), Agronomy (cita literal):
In this study, we focused on heat damage events lasting two days or more, which were temporally aggregated according to different growth stages (V0, VE, V6, VT, R1, R3, and R6).
SEVERIDAD: transcripción de Tabla2 — Li et al. (2025), Agronomy (cita literal):
The Growth Stages of Summer Maize | Mild/d | Moderate/d | Severe/d
V0–VE | 2.5~4.7 | 4.7~7.7 | &gt;7.7</t>
        </is>
      </c>
      <c r="M8" s="39" t="inlineStr">
        <is>
          <t>Umbral: main.pdf, PDF p.8 §3.2 y p.3 Tabla1/§2.2.3; duración: Agronomy PDF p.4 §2.3.2; severidad: PDF p.7 Tabla2. FIL: comparar main.pdf p.8.</t>
        </is>
      </c>
      <c r="N8" s="39" t="inlineStr">
        <is>
          <t>Abrir PDF de tu carpeta</t>
        </is>
      </c>
      <c r="O8" s="39" t="inlineStr">
        <is>
          <t>Umbral/fase: Li, EJA2025. Duración≥2d y severidad: Li, Agronomy2025. Agronomy cita refs9 y37 para umbrales; ref37 es EJA.</t>
        </is>
      </c>
    </row>
    <row r="9" spans="1:11" ht="226.10000000000002" customHeight="1">
      <c r="A9" s="37" t="s">
        <v>483</v>
      </c>
      <c r="B9" s="37" t="s">
        <v>468</v>
      </c>
      <c r="C9" s="37" t="s">
        <v>1184</v>
      </c>
      <c r="D9" s="37" t="s">
        <v>1410</v>
      </c>
      <c r="E9" s="37" t="s">
        <v>1416</v>
      </c>
      <c r="F9" s="37" t="inlineStr">
        <is>
          <t>≥2d: inclusión; severidad en cita deTabla2</t>
        </is>
      </c>
      <c r="G9" s="37" t="s">
        <v>1417</v>
      </c>
      <c r="H9" s="43" t="s">
        <v>1613</v>
      </c>
      <c r="I9" s="39" t="inlineStr">
        <is>
          <t>Li et al. (2025), European Journal of Agronomy</t>
        </is>
      </c>
      <c r="J9" s="39" t="inlineStr">
        <is>
          <t>Regla de la subfase V6–VT, contenida en VEG. Se considera definida para VEG; aplicar el corte solo a esa subfase.
Revisión documental: ≥2d es inclusión de episodios, NO categoría leve. Los rangos decimales de Tabla2 se conservan sin redondear; requieren decisión para días enteros. </t>
        </is>
      </c>
      <c r="K9" s="39" t="s">
        <v>1418</v>
      </c>
      <c r="L9" s="39" t="inlineStr">
        <is>
          <t>FASE Y UMBRAL — Li et al. (2025), European Journal of Agronomy (cita literal):
The Youden index peaked at 34 ◦ C, 34.1 ◦ C, 34.6 ◦ C, and 34.8 ◦ C for the V0-VE, VE-V6, V6-VT, and VT-R1 growth stages ( Fig. S4 ), respectively, under the test thresholds of 32 – 35 ◦ C and 33.3 – 35.4 ◦ C ( Fig. 5 a, b, d, e). Simi - larly, the Youden index reached its maximum at 33.7 ◦ C for the R1-R3 stage and at 32.9 ◦ C for the R3-R6 growth stage under the test thresh - olds of 32 – 35 ◦ C and 31.7 – 33.8 ◦ C, respectively ( Fig. 5 c, f). Therefore, the T d max values of 34, 34.1, 34.6, 34.8, 33.7, and 32.9 °C were considered the optimal trigger thresholds for determining whether heat damage occurs in summer maize at different growth stages from V0 to R6.
DURACIÓN DE INCLUSIÓN — Li et al. (2025), Agronomy (cita literal):
In this study, we focused on heat damage events lasting two days or more, which were temporally aggregated according to different growth stages (V0, VE, V6, VT, R1, R3, and R6).
SEVERIDAD: transcripción de Tabla2 — Li et al. (2025), Agronomy (cita literal):
The Growth Stages of Summer Maize | Mild/d | Moderate/d | Severe/d
V6–VT | 3.5~5.4 | 5.4~7.5 | &gt;7.5</t>
        </is>
      </c>
      <c r="M9" s="39" t="inlineStr">
        <is>
          <t>Umbral: main.pdf, PDF p.8 §3.2 y p.3 Tabla1/§2.2.3; duración: Agronomy PDF p.4 §2.3.2; severidad: PDF p.7 Tabla2. FIL: comparar main.pdf p.8.</t>
        </is>
      </c>
      <c r="N9" s="39" t="inlineStr">
        <is>
          <t>Abrir PDF de tu carpeta</t>
        </is>
      </c>
      <c r="O9" s="39" t="inlineStr">
        <is>
          <t>Umbral/fase: Li, EJA2025. Duración≥2d y severidad: Li, Agronomy2025. Agronomy cita refs9 y37 para umbrales; ref37 es EJA.</t>
        </is>
      </c>
    </row>
    <row r="10" spans="1:11" ht="226.10000000000002" customHeight="1">
      <c r="A10" s="37" t="s">
        <v>483</v>
      </c>
      <c r="B10" s="37" t="s">
        <v>473</v>
      </c>
      <c r="C10" s="37" t="s">
        <v>1184</v>
      </c>
      <c r="D10" s="37" t="s">
        <v>1410</v>
      </c>
      <c r="E10" s="37" t="s">
        <v>1615</v>
      </c>
      <c r="F10" s="37" t="inlineStr">
        <is>
          <t>≥2d: inclusión; severidad en cita deTabla2</t>
        </is>
      </c>
      <c r="G10" s="37" t="s">
        <v>1616</v>
      </c>
      <c r="H10" s="43" t="s">
        <v>1613</v>
      </c>
      <c r="I10" s="39" t="inlineStr">
        <is>
          <t>Li et al. (2025), Agronomy</t>
        </is>
      </c>
      <c r="J10" s="39" t="inlineStr">
        <is>
          <t>Definida por el criterio acordado para ventanas al límite. La fuente estima el corte para R1–R3; no es un corte exclusivo de REP.
Revisión documental: ≥2d es inclusión de episodios, NO categoría leve. Los rangos decimales de Tabla2 se conservan sin redondear; requieren decisión para días enteros. R1–R3 cruza FLO/REP/FIL; no es umbral independiente para cada macrofase. </t>
        </is>
      </c>
      <c r="K10" s="39" t="s">
        <v>1420</v>
      </c>
      <c r="L10" s="39" t="inlineStr">
        <is>
          <t>FASE Y UMBRAL — Li et al. (2025), Agronomy (cita literal):
Previous studies have identified different growth stages of summer maize and their corresponding heat stress thresholds: the sowing-to-emergence stage (early to mid-June), emergence-to-jointing stage (late June to mid-July), jointing-to- tasseling stage (mid to late July), tasseling-to-flowering stage (early August), flowering- to-milk-ripening stage (mid to late August), and milk-ripening-to-physiological-maturity stage (early to late September). The heat damage thresholds for these respective growth stages were determined as Td max ≥ 34 ◦C, 34.1 ◦C, 34.6 ◦C, 34.8 ◦C, 33.7 ◦C, and 32.7 ◦C [9,37].
DURACIÓN DE INCLUSIÓN — Li et al. (2025), Agronomy (cita literal):
In this study, we focused on heat damage events lasting two days or more, which were temporally aggregated according to different growth stages (V0, VE, V6, VT, R1, R3, and R6).
SEVERIDAD: transcripción de Tabla2 — Li et al. (2025), Agronomy (cita literal):
The Growth Stages of Summer Maize | Mild/d | Moderate/d | Severe/d
R1–R3 | 2.8~4.7 | 4.7~8.3 | &gt;8.3</t>
        </is>
      </c>
      <c r="M10" s="39" t="inlineStr">
        <is>
          <t>Umbral: agronomy-15-01545.pdf, PDF p.4 §2.3.1; duración: Agronomy PDF p.4 §2.3.2; severidad: PDF p.7 Tabla2. FIL: comparar main.pdf p.8.</t>
        </is>
      </c>
      <c r="N10" s="39" t="inlineStr">
        <is>
          <t>Abrir PDF de tu carpeta</t>
        </is>
      </c>
      <c r="O10" s="39" t="inlineStr">
        <is>
          <t>Valor usado y duración: Li, Agronomy2025 §2.3.1–2.3.2. Umbrales atribuidos a refs9 y37; ref37 es Li, EJA2025. Ambos PDFs disponibles.</t>
        </is>
      </c>
    </row>
    <row r="11" spans="1:11" ht="226.10000000000002" customHeight="1">
      <c r="A11" s="37" t="s">
        <v>483</v>
      </c>
      <c r="B11" s="37" t="s">
        <v>471</v>
      </c>
      <c r="C11" s="37" t="s">
        <v>1184</v>
      </c>
      <c r="D11" s="37" t="s">
        <v>1410</v>
      </c>
      <c r="E11" s="37" t="s">
        <v>1421</v>
      </c>
      <c r="F11" s="37" t="inlineStr">
        <is>
          <t>≥2d: inclusión; severidad en cita deTabla2</t>
        </is>
      </c>
      <c r="G11" s="37" t="s">
        <v>1618</v>
      </c>
      <c r="H11" s="43" t="s">
        <v>1613</v>
      </c>
      <c r="I11" s="39" t="inlineStr">
        <is>
          <t>Li et al. (2025), Agronomy</t>
        </is>
      </c>
      <c r="J11" s="39" t="inlineStr">
        <is>
          <t>Regla definida aunque la ventana de la fuente abarque fases vecinas; no se exige un umbral exclusivo para toda FLO.
Revisión documental: ≥2d es inclusión de episodios, NO categoría leve. Los rangos decimales de Tabla2 se conservan sin redondear; requieren decisión para días enteros. R1–R3 cruza FLO/REP/FIL; no es umbral independiente para cada macrofase. </t>
        </is>
      </c>
      <c r="K11" s="39" t="s">
        <v>1420</v>
      </c>
      <c r="L11" s="39" t="inlineStr">
        <is>
          <t>FASE Y UMBRAL — Li et al. (2025), Agronomy (cita literal):
Previous studies have identified different growth stages of summer maize and their corresponding heat stress thresholds: the sowing-to-emergence stage (early to mid-June), emergence-to-jointing stage (late June to mid-July), jointing-to- tasseling stage (mid to late July), tasseling-to-flowering stage (early August), flowering- to-milk-ripening stage (mid to late August), and milk-ripening-to-physiological-maturity stage (early to late September). The heat damage thresholds for these respective growth stages were determined as Td max ≥ 34 ◦C, 34.1 ◦C, 34.6 ◦C, 34.8 ◦C, 33.7 ◦C, and 32.7 ◦C [9,37].
DURACIÓN DE INCLUSIÓN — Li et al. (2025), Agronomy (cita literal):
In this study, we focused on heat damage events lasting two days or more, which were temporally aggregated according to different growth stages (V0, VE, V6, VT, R1, R3, and R6).
SEVERIDAD: transcripción de Tabla2 — Li et al. (2025), Agronomy (cita literal):
The Growth Stages of Summer Maize | Mild/d | Moderate/d | Severe/d
R1–R3 | 2.8~4.7 | 4.7~8.3 | &gt;8.3</t>
        </is>
      </c>
      <c r="M11" s="39" t="inlineStr">
        <is>
          <t>Umbral: agronomy-15-01545.pdf, PDF p.4 §2.3.1; duración: Agronomy PDF p.4 §2.3.2; severidad: PDF p.7 Tabla2. FIL: comparar main.pdf p.8.</t>
        </is>
      </c>
      <c r="N11" s="39" t="inlineStr">
        <is>
          <t>Abrir PDF de tu carpeta</t>
        </is>
      </c>
      <c r="O11" s="39" t="inlineStr">
        <is>
          <t>Valor usado y duración: Li, Agronomy2025 §2.3.1–2.3.2. Umbrales atribuidos a refs9 y37; ref37 es Li, EJA2025. Ambos PDFs disponibles.</t>
        </is>
      </c>
    </row>
    <row r="12" spans="1:11" ht="332.5" customHeight="1">
      <c r="A12" s="37" t="s">
        <v>483</v>
      </c>
      <c r="B12" s="37" t="s">
        <v>476</v>
      </c>
      <c r="C12" s="37" t="s">
        <v>1184</v>
      </c>
      <c r="D12" s="37" t="s">
        <v>1410</v>
      </c>
      <c r="E12" s="37" t="s">
        <v>1423</v>
      </c>
      <c r="F12" s="37" t="inlineStr">
        <is>
          <t>≥2d: inclusión; severidad en cita deTabla2</t>
        </is>
      </c>
      <c r="G12" s="37" t="s">
        <v>1424</v>
      </c>
      <c r="H12" s="43" t="s">
        <v>1613</v>
      </c>
      <c r="I12" s="39" t="inlineStr">
        <is>
          <t>Li et al. (2025), Agronomy</t>
        </is>
      </c>
      <c r="J12" s="39" t="inlineStr">
        <is>
          <t>Regla R3–R6, contenida en FIL. Se considera definida para FIL aunque no cubra R2; aplicar solo a la ventana respaldada.
Revisión documental: ≥2d es inclusión de episodios, NO categoría leve. Los rangos decimales de Tabla2 se conservan sin redondear; requieren decisión para días enteros. Se conserva32.7 de Agronomy; fuente original citada publica32.9. Discrepancia por revisar, sin promediar ni corregir silenciosamente.</t>
        </is>
      </c>
      <c r="K12" s="39" t="s">
        <v>1425</v>
      </c>
      <c r="L12" s="39" t="inlineStr">
        <is>
          <t>FASE Y UMBRAL — Li et al. (2025), Agronomy (cita literal):
Previous studies have identified different growth stages of summer maize and their corresponding heat stress thresholds: the sowing-to-emergence stage (early to mid-June), emergence-to-jointing stage (late June to mid-July), jointing-to- tasseling stage (mid to late July), tasseling-to-flowering stage (early August), flowering- to-milk-ripening stage (mid to late August), and milk-ripening-to-physiological-maturity stage (early to late September). The heat damage thresholds for these respective growth stages were determined as Td max ≥ 34 ◦C, 34.1 ◦C, 34.6 ◦C, 34.8 ◦C, 33.7 ◦C, and 32.7 ◦C [9,37].
DURACIÓN DE INCLUSIÓN — Li et al. (2025), Agronomy (cita literal):
In this study, we focused on heat damage events lasting two days or more, which were temporally aggregated according to different growth stages (V0, VE, V6, VT, R1, R3, and R6).
SEVERIDAD: transcripción de Tabla2 — Li et al. (2025), Agronomy (cita literal):
The Growth Stages of Summer Maize | Mild/d | Moderate/d | Severe/d
R3–R6 | 3.2~5.3 | 5.3~8.1 | &gt;8.1
VALOR DISTINTO EN LA FUENTE CITADA — Li et al. (2025), European Journal of Agronomy (cita literal):
The Youden index peaked at 34 ◦ C, 34.1 ◦ C, 34.6 ◦ C, and 34.8 ◦ C for the V0-VE, VE-V6, V6-VT, and VT-R1 growth stages ( Fig. S4 ), respectively, under the test thresholds of 32 – 35 ◦ C and 33.3 – 35.4 ◦ C ( Fig. 5 a, b, d, e). Simi - larly, the Youden index reached its maximum at 33.7 ◦ C for the R1-R3 stage and at 32.9 ◦ C for the R3-R6 growth stage under the test thresh - olds of 32 – 35 ◦ C and 31.7 – 33.8 ◦ C, respectively ( Fig. 5 c, f). Therefore, the T d max values of 34, 34.1, 34.6, 34.8, 33.7, and 32.9 °C were considered the optimal trigger thresholds for determining whether heat damage occurs in summer maize at different growth stages from V0 to R6.</t>
        </is>
      </c>
      <c r="M12" s="39" t="inlineStr">
        <is>
          <t>Umbral: agronomy-15-01545.pdf, PDF p.4 §2.3.1; duración: Agronomy PDF p.4 §2.3.2; severidad: PDF p.7 Tabla2. FIL: comparar main.pdf p.8.</t>
        </is>
      </c>
      <c r="N12" s="39" t="inlineStr">
        <is>
          <t>Abrir PDF de tu carpeta</t>
        </is>
      </c>
      <c r="O12" s="39" t="inlineStr">
        <is>
          <t>Valor usado y duración: Li, Agronomy2025 §2.3.1–2.3.2. Umbrales atribuidos a refs9 y37; ref37 es Li, EJA2025. Ambos PDFs disponibles.</t>
        </is>
      </c>
    </row>
    <row r="13" spans="1:11" ht="96.0" customHeight="1">
      <c r="A13" s="37" t="s">
        <v>483</v>
      </c>
      <c r="B13" s="37" t="s">
        <v>479</v>
      </c>
      <c r="C13" s="37" t="inlineStr">
        <is>
          <t>Lluvia durante secado en campo</t>
        </is>
      </c>
      <c r="D13" s="37" t="inlineStr">
        <is>
          <t>Precipitación total diaria (mm/día)</t>
        </is>
      </c>
      <c r="E13" s="37" t="inlineStr">
        <is>
          <t>P diaria &gt;10 mm</t>
        </is>
      </c>
      <c r="F13" s="37" t="inlineStr">
        <is>
          <t>Un día; sin mínimo de racha publicado</t>
        </is>
      </c>
      <c r="G13" s="37" t="inlineStr">
        <is>
          <t>Contar días con P&gt;10 mm en secado previo a cosecha. Episodios: agrupar consecutivos solo como convención declarada.</t>
        </is>
      </c>
      <c r="H13" s="43" t="inlineStr">
        <is>
          <t>REGLA DEFINIDA · indicador</t>
        </is>
      </c>
      <c r="I13" s="39" t="inlineStr">
        <is>
          <t>Ortega Gómez et al. (2019)</t>
        </is>
      </c>
      <c r="J13" s="39" t="inlineStr">
        <is>
          <t>Parte terminal de MAT, después de R6. Indicador regional, no mínimo universal de daño. Tabla usa &gt;10 mm; resumen usa ≥10. Aplicar calendario local, no copiar octubre/noviembre.
Revisión documental: El resumen usa≥10mm y Tabla2 usa&gt;10mm. Se conserva definición de tabla. Drying/harvest se homologa a parte terminal deMAT; no copiar meses deMéxico.</t>
        </is>
      </c>
      <c r="K13" s="39" t="inlineStr">
        <is>
          <t>Nueva: Auditoría fila109; anterior: fila107</t>
        </is>
      </c>
      <c r="L13" s="39" t="inlineStr">
        <is>
          <t>UMBRAL DIARIO: celda de Tabla2 — Ortega Gómez et al. (2019) (cita literal):
Number of wet days with precipitation higher than 10 mm for the month of October.
FASE: etiquetas de Tabla2 y Fig.2 — Ortega Gómez et al. (2019) (cita literal):
Dry</t>
        </is>
      </c>
      <c r="M13" s="39" t="inlineStr">
        <is>
          <t>Ortega_2019.pdf, PDF p.11 (impresa36), Fig.2 y Tabla2, WDH10oct/nov; discusión p.15.</t>
        </is>
      </c>
      <c r="N13" s="39" t="inlineStr">
        <is>
          <t>Abrir PDF de tu carpeta</t>
        </is>
      </c>
      <c r="O13" s="39" t="inlineStr">
        <is>
          <t>Indicador definido por los autores en Tabla2. No proviene de otro umbral citado. Fig.2 sitúa secado/cosecha después deR6.</t>
        </is>
      </c>
    </row>
    <row r="14" spans="1:11" ht="186.20000000000002" customHeight="1">
      <c r="A14" s="37" t="s">
        <v>484</v>
      </c>
      <c r="B14" s="37" t="s">
        <v>465</v>
      </c>
      <c r="C14" s="37" t="s">
        <v>1184</v>
      </c>
      <c r="D14" s="37" t="s">
        <v>1432</v>
      </c>
      <c r="E14" s="37" t="s">
        <v>1433</v>
      </c>
      <c r="F14" s="37" t="s">
        <v>1621</v>
      </c>
      <c r="G14" s="37" t="s">
        <v>1622</v>
      </c>
      <c r="H14" s="43" t="s">
        <v>1613</v>
      </c>
      <c r="I14" s="39" t="inlineStr">
        <is>
          <t>Yoshida (1981), Fundamentals of Rice Crop Science</t>
        </is>
      </c>
      <c r="J14" s="39" t="inlineStr">
        <is>
          <t>Regla de exposición definida por umbral y estadístico comparables. La fuente no publica duración mínima de daño; no atribuirle una.
Revisión documental: El operador&gt; y la agrupación de episodios son decisiones operativas. No publica duración mínima para esta fila. Emergence/establishment→EST.</t>
        </is>
      </c>
      <c r="K14" s="39" t="s">
        <v>1434</v>
      </c>
      <c r="L14" s="39" t="inlineStr">
        <is>
          <t>UMBRAL: transcripción de celdas de Tabla2.4 — Yoshida (1981), Fundamentals of Rice Crop Science (cita literal):
Seedling emergence and establishment
High
35
ESTADÍSTICO Y FUENTE: notas de Tabla2.4 — Yoshida (1981), Fundamentals of Rice Crop Science (cita literal):
Adapted and modified from Yoshida (1977a). b Refers to daily mean temperature except for germination.
ALCANCE DEL UMBRAL — Yoshida (1981), Fundamentals of Rice Crop Science (cita literal):
The critically low and high temperatures, normally below 20°C and above 30°C, vary from one growth stage to another (Table 2.4). These critical temperatures differ according to variety, duration of critical temperature, diurnal changes, and physiological status of the plant.</t>
        </is>
      </c>
      <c r="M14" s="39" t="inlineStr">
        <is>
          <t>Yoshida_1981.pdf, PDF p.80 (impresa72), Tabla2.4, columnaHigh y notas a/b. No existe párrafo con35/30 para estas filas: son celdas de tabla.</t>
        </is>
      </c>
      <c r="N14" s="39" t="inlineStr">
        <is>
          <t>Abrir PDF de tu carpeta</t>
        </is>
      </c>
      <c r="O14" s="39" t="inlineStr">
        <is>
          <t>Yoshida1981 adapta Tabla2.4 de Yoshida1977a, según nota a. Documento1977a no está en carpeta y no se verificó directamente. Estadístico: nota b.</t>
        </is>
      </c>
    </row>
    <row r="15" spans="1:11" ht="119.7" customHeight="1">
      <c r="A15" s="37" t="s">
        <v>484</v>
      </c>
      <c r="B15" s="37" t="s">
        <v>468</v>
      </c>
      <c r="C15" s="37" t="s">
        <v>1184</v>
      </c>
      <c r="D15" s="37" t="s">
        <v>1410</v>
      </c>
      <c r="E15" s="37" t="s">
        <v>1624</v>
      </c>
      <c r="F15" s="37" t="s">
        <v>1435</v>
      </c>
      <c r="G15" s="37" t="s">
        <v>1436</v>
      </c>
      <c r="H15" s="43" t="s">
        <v>1613</v>
      </c>
      <c r="I15" s="39" t="inlineStr">
        <is>
          <t>Jiang et al. (2023)</t>
        </is>
      </c>
      <c r="J15" s="39" t="inlineStr">
        <is>
          <t>Regla para macollamiento–encañado, dentro de VEG. Jiang2023 §2.5.2 define proceso con Tmax sobre el corte durante≥3d.
Revisión documental: Macollamiento–encañado está dentro deVEG. &gt;36 para proceso; no confundir Tmax conTmedia. Duración caracteriza proceso, no límite fisiológico universal.</t>
        </is>
      </c>
      <c r="K15" s="39" t="s">
        <v>1437</v>
      </c>
      <c r="L15" s="39" t="inlineStr">
        <is>
          <t>FASE, ESTADÍSTICO Y UMBRAL — Jiang et al. (2023) (cita literal):
Critical temperature thresholds of T max at tillering–jointing, booting, flowering and filling were quantified as 36, 35, 35 and 38 ◦C, with higher IF values of 13.14, 10.93, 17.15 and 13.15, respectively.
DURACIÓN DEL PROCESO — Jiang et al. (2023) (cita literal):
Generally speaking, most domestic studies consider a heat process where the maximum air temper‐ ature exceeds the critical threshold for at least 3 days.</t>
        </is>
      </c>
      <c r="M15" s="39" t="inlineStr">
        <is>
          <t>agronomy-13-02574.pdf, PDF p.1 Abstract; p.7 §2.5.2; p.17 Conclusions.</t>
        </is>
      </c>
      <c r="N15" s="39" t="inlineStr">
        <is>
          <t>Abrir PDF de tu carpeta</t>
        </is>
      </c>
      <c r="O15" s="39" t="inlineStr">
        <is>
          <t>Umbral36°C estimado por Jiang2023. Duración≥3d: definición de proceso en §2.5.2, atribuida de forma general a estudios nacionales.</t>
        </is>
      </c>
    </row>
    <row r="16" spans="1:11" ht="385.70000000000005" customHeight="1">
      <c r="A16" s="37" t="s">
        <v>484</v>
      </c>
      <c r="B16" s="37" t="s">
        <v>473</v>
      </c>
      <c r="C16" s="37" t="s">
        <v>1184</v>
      </c>
      <c r="D16" s="37" t="s">
        <v>1432</v>
      </c>
      <c r="E16" s="37" t="s">
        <v>1438</v>
      </c>
      <c r="F16" s="37" t="s">
        <v>1439</v>
      </c>
      <c r="G16" s="37" t="s">
        <v>1440</v>
      </c>
      <c r="H16" s="43" t="s">
        <v>1613</v>
      </c>
      <c r="I16" s="39" t="inlineStr">
        <is>
          <t>Sun et al. (2025)</t>
        </is>
      </c>
      <c r="J16" s="39" t="inlineStr">
        <is>
          <t>Regla definida para encañado–embuche aunque la ventana cruce el límite de VEG. Aplicable al arroz de una cosecha; mantener la ventana fuente.
Revisión documental: SoloSingle–rice. El umbral de temperatura y la duración tienen procedencia distinta. Jointing–booting cruza límiteVEG/REP; corroborar homologación.</t>
        </is>
      </c>
      <c r="K16" s="39" t="s">
        <v>1441</v>
      </c>
      <c r="L16" s="39" t="inlineStr">
        <is>
          <t>DEFINICIÓN DE FASES — Sun et al. (2025) (cita literal):
Three growth stages that were most susceptible to extreme stress were considered in this study: jointing–booting stage (#1), heading–flowering stage (#2) and grain filling stage (#3). The jointing–booting stage refers to the period from the first day of jointing to the last day before heading. The heading–flowering stage refers to the period from heading to flowering and generally lasts for 10 d. The grain filling stage refers to the period from the 11th day after heading to ma- turity. The exact dates of the different stages were obtained from phenological records for each year and station.
VARIABLE Y CORTE — Sun et al. (2025) (cita literal):
Following this concept, heat stress (H) sever- itySH,g,t at a given growth stage (g) in a given year (t) that meets the condition can be computed by the cumulative de- viation of mean daily temperature ( T ) above its threshold (Tbase) for all the days ( i) within this stage. We used 33 °C as the base temperature (Table 1) in Eq. (1).
DURACIÓN: celdas de Tabla1 — Sun et al. (2025) (cita literal):
Single–rice
Heat
T ≥ 33 °C
≥ 1 successive day
PROCEDENCIA DE LOS UMBRALES — Sun et al. (2025) (cita literal):
Note: The above thresholds are referenced from&lt;NY/T 2915–2016&gt;, Identification and classification of heat injury of rice;&lt;NY/T 3043–2016&gt;, Code of practice for field investigations and classification of rice seasonal drought stressess in southern–China;&lt;NY/T 2285–2012&gt;, Technical specification of field investigations and the grading of chilling damage to rice and;&lt;DB5101/T 125–2021&gt;, Indica rice weather stress level–continuous rain. NY/T is the Agricultural Information Resource Classification and Coding Specification in China. DB5101/T is the Local Standard of Chengdu, Sichuan Province. Thresholds for duration were relaxed from original standards to ensure adequate samples for later analyses.</t>
        </is>
      </c>
      <c r="M16" s="39" t="inlineStr">
        <is>
          <t>esd-16-1971-2025.pdf, PDF p.4 (1974), §2.3.1–2.3.2; PDF p.5 (1975), Tabla1 y nota. Fila/grupo: Jointing–booting (#1).</t>
        </is>
      </c>
      <c r="N16" s="39" t="inlineStr">
        <is>
          <t>Abrir PDF de tu carpeta</t>
        </is>
      </c>
      <c r="O16" s="39" t="inlineStr">
        <is>
          <t>33°C adoptado de estándares, incluidoNY/T2915–2016 (notaTabla1); duración relajada a≥1d por Sun2025. Normas originales no están en carpeta ni se verificaron directamente.</t>
        </is>
      </c>
    </row>
    <row r="17" spans="1:11" ht="385.70000000000005" customHeight="1">
      <c r="A17" s="37" t="s">
        <v>484</v>
      </c>
      <c r="B17" s="37" t="s">
        <v>471</v>
      </c>
      <c r="C17" s="37" t="s">
        <v>1184</v>
      </c>
      <c r="D17" s="37" t="s">
        <v>1432</v>
      </c>
      <c r="E17" s="37" t="s">
        <v>1438</v>
      </c>
      <c r="F17" s="37" t="s">
        <v>1439</v>
      </c>
      <c r="G17" s="37" t="s">
        <v>1442</v>
      </c>
      <c r="H17" s="43" t="s">
        <v>1613</v>
      </c>
      <c r="I17" s="39" t="inlineStr">
        <is>
          <t>Sun et al. (2025)</t>
        </is>
      </c>
      <c r="J17" s="39" t="inlineStr">
        <is>
          <t>Arroz de una cosecha; ventana espigado–floración y transferencia regional.
Revisión documental: SoloSingle–rice. El umbral de temperatura y la duración tienen procedencia distinta. Usar fechas de fase indicadas en fuente; no combinar automáticamente con arroz tardío.</t>
        </is>
      </c>
      <c r="K17" s="39" t="s">
        <v>1444</v>
      </c>
      <c r="L17" s="39" t="inlineStr">
        <is>
          <t>DEFINICIÓN DE FASES — Sun et al. (2025) (cita literal):
Three growth stages that were most susceptible to extreme stress were considered in this study: jointing–booting stage (#1), heading–flowering stage (#2) and grain filling stage (#3). The jointing–booting stage refers to the period from the first day of jointing to the last day before heading. The heading–flowering stage refers to the period from heading to flowering and generally lasts for 10 d. The grain filling stage refers to the period from the 11th day after heading to ma- turity. The exact dates of the different stages were obtained from phenological records for each year and station.
VARIABLE Y CORTE — Sun et al. (2025) (cita literal):
Following this concept, heat stress (H) sever- itySH,g,t at a given growth stage (g) in a given year (t) that meets the condition can be computed by the cumulative de- viation of mean daily temperature ( T ) above its threshold (Tbase) for all the days ( i) within this stage. We used 33 °C as the base temperature (Table 1) in Eq. (1).
DURACIÓN: celdas de Tabla1 — Sun et al. (2025) (cita literal):
Single–rice
Heat
T ≥ 33 °C
≥ 1 successive day
PROCEDENCIA DE LOS UMBRALES — Sun et al. (2025) (cita literal):
Note: The above thresholds are referenced from&lt;NY/T 2915–2016&gt;, Identification and classification of heat injury of rice;&lt;NY/T 3043–2016&gt;, Code of practice for field investigations and classification of rice seasonal drought stressess in southern–China;&lt;NY/T 2285–2012&gt;, Technical specification of field investigations and the grading of chilling damage to rice and;&lt;DB5101/T 125–2021&gt;, Indica rice weather stress level–continuous rain. NY/T is the Agricultural Information Resource Classification and Coding Specification in China. DB5101/T is the Local Standard of Chengdu, Sichuan Province. Thresholds for duration were relaxed from original standards to ensure adequate samples for later analyses.</t>
        </is>
      </c>
      <c r="M17" s="39" t="inlineStr">
        <is>
          <t>esd-16-1971-2025.pdf, PDF p.4 (1974), §2.3.1–2.3.2; PDF p.5 (1975), Tabla1 y nota. Fila/grupo: Heading–flowering (#2).</t>
        </is>
      </c>
      <c r="N17" s="39" t="inlineStr">
        <is>
          <t>Abrir PDF de tu carpeta</t>
        </is>
      </c>
      <c r="O17" s="39" t="inlineStr">
        <is>
          <t>33°C adoptado de estándares, incluidoNY/T2915–2016 (notaTabla1); duración relajada a≥1d por Sun2025. Normas originales no están en carpeta ni se verificaron directamente.</t>
        </is>
      </c>
    </row>
    <row r="18" spans="1:11" ht="385.70000000000005" customHeight="1">
      <c r="A18" s="37" t="s">
        <v>484</v>
      </c>
      <c r="B18" s="37" t="s">
        <v>476</v>
      </c>
      <c r="C18" s="37" t="s">
        <v>1184</v>
      </c>
      <c r="D18" s="37" t="s">
        <v>1432</v>
      </c>
      <c r="E18" s="37" t="s">
        <v>1438</v>
      </c>
      <c r="F18" s="37" t="s">
        <v>1439</v>
      </c>
      <c r="G18" s="37" t="s">
        <v>1442</v>
      </c>
      <c r="H18" s="43" t="s">
        <v>1613</v>
      </c>
      <c r="I18" s="39" t="inlineStr">
        <is>
          <t>Sun et al. (2025)</t>
        </is>
      </c>
      <c r="J18" s="39" t="inlineStr">
        <is>
          <t>Ventana desde día11tras espigado hasta madurez; transferencia regional.
Revisión documental: SoloSingle–rice. El umbral de temperatura y la duración tienen procedencia distinta. Usar fechas de fase indicadas en fuente; no combinar automáticamente con arroz tardío.</t>
        </is>
      </c>
      <c r="K18" s="39" t="s">
        <v>1446</v>
      </c>
      <c r="L18" s="39" t="inlineStr">
        <is>
          <t>DEFINICIÓN DE FASES — Sun et al. (2025) (cita literal):
Three growth stages that were most susceptible to extreme stress were considered in this study: jointing–booting stage (#1), heading–flowering stage (#2) and grain filling stage (#3). The jointing–booting stage refers to the period from the first day of jointing to the last day before heading. The heading–flowering stage refers to the period from heading to flowering and generally lasts for 10 d. The grain filling stage refers to the period from the 11th day after heading to ma- turity. The exact dates of the different stages were obtained from phenological records for each year and station.
VARIABLE Y CORTE — Sun et al. (2025) (cita literal):
Following this concept, heat stress (H) sever- itySH,g,t at a given growth stage (g) in a given year (t) that meets the condition can be computed by the cumulative de- viation of mean daily temperature ( T ) above its threshold (Tbase) for all the days ( i) within this stage. We used 33 °C as the base temperature (Table 1) in Eq. (1).
DURACIÓN: celdas de Tabla1 — Sun et al. (2025) (cita literal):
Single–rice
Heat
T ≥ 33 °C
≥ 1 successive day
PROCEDENCIA DE LOS UMBRALES — Sun et al. (2025) (cita literal):
Note: The above thresholds are referenced from&lt;NY/T 2915–2016&gt;, Identification and classification of heat injury of rice;&lt;NY/T 3043–2016&gt;, Code of practice for field investigations and classification of rice seasonal drought stressess in southern–China;&lt;NY/T 2285–2012&gt;, Technical specification of field investigations and the grading of chilling damage to rice and;&lt;DB5101/T 125–2021&gt;, Indica rice weather stress level–continuous rain. NY/T is the Agricultural Information Resource Classification and Coding Specification in China. DB5101/T is the Local Standard of Chengdu, Sichuan Province. Thresholds for duration were relaxed from original standards to ensure adequate samples for later analyses.</t>
        </is>
      </c>
      <c r="M18" s="39" t="inlineStr">
        <is>
          <t>esd-16-1971-2025.pdf, PDF p.4 (1974), §2.3.1–2.3.2; PDF p.5 (1975), Tabla1 y nota. Fila/grupo: Grain filling (#3).</t>
        </is>
      </c>
      <c r="N18" s="39" t="inlineStr">
        <is>
          <t>Abrir PDF de tu carpeta</t>
        </is>
      </c>
      <c r="O18" s="39" t="inlineStr">
        <is>
          <t>33°C adoptado de estándares, incluidoNY/T2915–2016 (notaTabla1); duración relajada a≥1d por Sun2025. Normas originales no están en carpeta ni se verificaron directamente.</t>
        </is>
      </c>
    </row>
    <row r="19" spans="1:11" ht="186.20000000000002" customHeight="1">
      <c r="A19" s="37" t="s">
        <v>484</v>
      </c>
      <c r="B19" s="37" t="s">
        <v>479</v>
      </c>
      <c r="C19" s="37" t="s">
        <v>1184</v>
      </c>
      <c r="D19" s="37" t="s">
        <v>1432</v>
      </c>
      <c r="E19" s="37" t="s">
        <v>1447</v>
      </c>
      <c r="F19" s="37" t="s">
        <v>1621</v>
      </c>
      <c r="G19" s="37" t="s">
        <v>1627</v>
      </c>
      <c r="H19" s="43" t="s">
        <v>1613</v>
      </c>
      <c r="I19" s="39" t="inlineStr">
        <is>
          <t>Yoshida (1981), Fundamentals of Rice Crop Science</t>
        </is>
      </c>
      <c r="J19" s="39" t="inlineStr">
        <is>
          <t>Se acepta ripening como ventana de maduración al límite de FIL/MAT. Regla de exposición; la fuente no da duración mínima de daño. No extender a grano seco/cosecha.
Revisión documental: El operador&gt; y la agrupación de episodios son decisiones operativas. No publica duración mínima para esta fila. Ripening incluye llenado y maduración: ventana compartida, no umbral exclusivo para grano seco.</t>
        </is>
      </c>
      <c r="K19" s="39" t="s">
        <v>1448</v>
      </c>
      <c r="L19" s="39" t="inlineStr">
        <is>
          <t>UMBRAL: transcripción de celdas de Tabla2.4 — Yoshida (1981), Fundamentals of Rice Crop Science (cita literal):
Ripening
High
30
ESTADÍSTICO Y FUENTE: notas de Tabla2.4 — Yoshida (1981), Fundamentals of Rice Crop Science (cita literal):
Adapted and modified from Yoshida (1977a). b Refers to daily mean temperature except for germination.
ALCANCE DEL UMBRAL — Yoshida (1981), Fundamentals of Rice Crop Science (cita literal):
The critically low and high temperatures, normally below 20°C and above 30°C, vary from one growth stage to another (Table 2.4). These critical temperatures differ according to variety, duration of critical temperature, diurnal changes, and physiological status of the plant.</t>
        </is>
      </c>
      <c r="M19" s="39" t="inlineStr">
        <is>
          <t>Yoshida_1981.pdf, PDF p.80 (impresa72), Tabla2.4, columnaHigh y notas a/b. No existe párrafo con35/30 para estas filas: son celdas de tabla.</t>
        </is>
      </c>
      <c r="N19" s="39" t="inlineStr">
        <is>
          <t>Abrir PDF de tu carpeta</t>
        </is>
      </c>
      <c r="O19" s="39" t="inlineStr">
        <is>
          <t>Yoshida1981 adapta Tabla2.4 de Yoshida1977a, según nota a. Documento1977a no está en carpeta y no se verificó directamente. Estadístico: nota b.</t>
        </is>
      </c>
    </row>
    <row r="20" spans="1:11" ht="172.9" customHeight="1">
      <c r="A20" s="37" t="s">
        <v>485</v>
      </c>
      <c r="B20" s="37" t="s">
        <v>465</v>
      </c>
      <c r="C20" s="37" t="inlineStr">
        <is>
          <t>Helada en emergencia</t>
        </is>
      </c>
      <c r="D20" s="37" t="inlineStr">
        <is>
          <t>Temperatura mínima diaria del aire a 2 m</t>
        </is>
      </c>
      <c r="E20" s="37" t="inlineStr">
        <is>
          <t>Tmin &lt;0 °C</t>
        </is>
      </c>
      <c r="F20" s="37" t="inlineStr">
        <is>
          <t>Diaria; sin horas mínimas de daño publicadas</t>
        </is>
      </c>
      <c r="G20" s="37" t="inlineStr">
        <is>
          <t>Contar días con Tmin&lt;0 °C después de emergencia; calcular proporción de ciclos expuestos. No interpretar cada día como muerte del cultivo.</t>
        </is>
      </c>
      <c r="H20" s="43" t="inlineStr">
        <is>
          <t>REGLA DEFINIDA · riesgo de helada</t>
        </is>
      </c>
      <c r="I20" s="39" t="inlineStr">
        <is>
          <t>Mourtzinis, Specht y Conley (2019)</t>
        </is>
      </c>
      <c r="J20" s="39" t="inlineStr">
        <is>
          <t>Riesgo de helada, no mortalidad automática. La fuente utiliza mínimas diarias DAYMET en EE.UU. La intensidad, duración y respuesta varietal afectan daño; validar sesgo local de ERA5-Land.
Revisión documental: Día conTmin&lt;0°C es exposición, no muerte automática; la fuente no define horas mínimas para0°C. Emergence→EST.</t>
        </is>
      </c>
      <c r="K20" s="39" t="inlineStr">
        <is>
          <t>Nueva: Auditoría fila110; anterior: fila76</t>
        </is>
      </c>
      <c r="L20" s="39" t="inlineStr">
        <is>
          <t>AMENAZA Y FASE — Mourtzinis, Specht y Conley (2019) (cita literal):
An important consideration in early sowing is spring frost occurrence, which can damage or destroy the crop (but only after emergence at 15–25 DAS) 16. The current common recommendation to soybean producers is to sow the first field when frost probabilities are less than 20% on or after emergence. Minor frost damage on emerged seedlings may occur when temperature drops below 0 °C, but becomes more damaging when tempera- ture drops below − 2 °C for prolonged periods.
ESTADÍSTICO: MÍNIMA DIARIA — Mourtzinis, Specht y Conley (2019) (cita literal):
Using the 21 days earlier sowing as a threshold, 2% of all 289 locations (all in North Dakota, South Dakota, and Minnesota) exceeded the 20% probability threshold for daily minimum temperatures to drop below 0 °C at emergence and only 0.3% had exceeded the 20% probability for daily minimum temperatures to drop below − 1 °C (Fig. 4).</t>
        </is>
      </c>
      <c r="M20" s="39" t="inlineStr">
        <is>
          <t>s41598-019-38971-3.pdf, PDF p.4 Results and Discussion; p.5 Fig.4; métodos de probabilidades p.6.</t>
        </is>
      </c>
      <c r="N20" s="39" t="inlineStr">
        <is>
          <t>Abrir PDF de tu carpeta</t>
        </is>
      </c>
      <c r="O20" s="39" t="inlineStr">
        <is>
          <t>Riesgo conTmin diaria evaluado porMourtzinis2019. El párrafo de daño cita ref16; no se certifica esa fuente original por lectura independiente.</t>
        </is>
      </c>
    </row>
    <row r="21" spans="1:11" ht="146.3" customHeight="1">
      <c r="A21" s="37" t="s">
        <v>485</v>
      </c>
      <c r="B21" s="37" t="s">
        <v>468</v>
      </c>
      <c r="C21" s="37" t="inlineStr">
        <is>
          <t>Calor diurno sostenido</t>
        </is>
      </c>
      <c r="D21" s="37" t="inlineStr">
        <is>
          <t>Temperatura horaria del aire; permanencia a 45 °C</t>
        </is>
      </c>
      <c r="E21" s="37" t="inlineStr">
        <is>
          <t>45 °C, tratamiento; filtro propuesto T≥45 °C</t>
        </is>
      </c>
      <c r="F21" s="37" t="inlineStr">
        <is>
          <t>4 h/día durante 7 días consecutivos</t>
        </is>
      </c>
      <c r="G21" s="37" t="inlineStr">
        <is>
          <t>Buscar bloques de 7 días con aproximadamente 4 h diarias a T≥45 °C. Es filtro propuesto comparable al tratamiento, no umbral mínimo de daño; Tmax sola no basta.</t>
        </is>
      </c>
      <c r="H21" s="43" t="inlineStr">
        <is>
          <t>REGLA DEFINIDA · experimental</t>
        </is>
      </c>
      <c r="I21" s="39" t="inlineStr">
        <is>
          <t>Herritt y Fritschi (2020)</t>
        </is>
      </c>
      <c r="J21" s="39" t="inlineStr">
        <is>
          <t>Tratamiento de aire en V4, 09:00–13:00 durante7d. Su transferencia al campo es aproximada. ≥45 es filtro analítico, no corte estimado por el paper. Datos horarios aproximan permanencia; no garantizan 4h continuas.
Revisión documental: ≥45°C es filtro propuesto por nosotros; el ensayo aplica45°C. No convertir aTmax diaria. V4→VEG; temperatura de cámara no equivale sin validación a aire2m en campo.</t>
        </is>
      </c>
      <c r="K21" s="39" t="inlineStr">
        <is>
          <t>Nueva: Auditoría fila111; anterior: fila103</t>
        </is>
      </c>
      <c r="L21" s="39" t="inlineStr">
        <is>
          <t>FASE V4 Y PROTOCOLO COMPLETO DE TEMPERATURA — Herritt y Fritschi (2020) (cita literal):
Plants were grown for three additional weeks until they reached four fully expanded trifoliate leaves. At that time, three temperature treatments were initiated, namely 28, 38, and 45°C maximum air temperatures which were imposed as follows: For the control treatment (28°C), the temperature regime was maintained the same as for initial growth. For elevated air temperature treatments, the temperature was increased gradually from 28°C at 7:00 am to reach 38 or 45°C by 9:00 am and held at these temperatures until 1:00 pm. Then the temperature was reduced from 38 or 45°C to 28°C from 1:00 pm to 3:00 pm and maintained at 28°C until 8:00 pm. Elevated temperatures that occur during the growing season often come in the form of heat waves that generally last a few to several days. Therefore, temperature treatments were imposed over the course of 7 days, at which point the experiments were terminated.</t>
        </is>
      </c>
      <c r="M21" s="39" t="inlineStr">
        <is>
          <t>fpls-11-00153.pdf, PDF p.3, Materials and Methods / Genotypes and Growth Conditions.</t>
        </is>
      </c>
      <c r="N21" s="39" t="inlineStr">
        <is>
          <t>Abrir PDF de tu carpeta</t>
        </is>
      </c>
      <c r="O21" s="39" t="inlineStr">
        <is>
          <t>Tratamiento definido directamente porHerritt/Fritschi2020:45°C, meseta09:00–13:00 durante7d, después de4hojas trifoliadas. No breakpoint estimado de otra fuente.</t>
        </is>
      </c>
    </row>
    <row r="22" spans="1:11" ht="332.5" customHeight="1">
      <c r="A22" s="37" t="s">
        <v>485</v>
      </c>
      <c r="B22" s="37" t="s">
        <v>473</v>
      </c>
      <c r="C22" s="37" t="inlineStr">
        <is>
          <t>Calor reproductivo (modelo)</t>
        </is>
      </c>
      <c r="D22" s="37" t="inlineStr">
        <is>
          <t>Teff diaria=(Tmedia diaria+Tmáxima diaria)/2</t>
        </is>
      </c>
      <c r="E22" s="37" t="inlineStr">
        <is>
          <t>Teff &gt;35 °C; límite del modelo40 °C</t>
        </is>
      </c>
      <c r="F22" s="37" t="inlineStr">
        <is>
          <t>Diaria; sin mínimo de racha</t>
        </is>
      </c>
      <c r="G22" s="37" t="inlineStr">
        <is>
          <t>Contar días con Teff&gt;35 °C solo en ventana respaldada. Antes de aplicar REP, comprobar correspondencia de preantesis con calendario de tesis; no duplicar evento con FLO.</t>
        </is>
      </c>
      <c r="H22" s="43" t="inlineStr">
        <is>
          <t>REGLA DEFINIDA · modelo / límite</t>
        </is>
      </c>
      <c r="I22" s="39" t="inlineStr">
        <is>
          <t>Deryng et al. (2014)</t>
        </is>
      </c>
      <c r="J22" s="39" t="inlineStr">
        <is>
          <t>Aceptada por criterio de ventana limítrofe. El paper NO define una regla independiente para formación de vainas/R3–R4. Asignar preantesis a REP es homologación propuesta y debe corroborarse; no extender a toda REP.
Revisión documental: La asignación de preantesis aREP es propuesta nuestra; el paper no define regla independiente de formación de vainas. Debes revisar esa correspondencia. Teff&gt;35 es inicio de reducción; a35 el factor diario sigue en1. No sustituirTeff porTmax.</t>
        </is>
      </c>
      <c r="K22" s="39" t="inlineStr">
        <is>
          <t>Nueva: Auditoría fila112; anterior: fila105</t>
        </is>
      </c>
      <c r="L22" s="39" t="inlineStr">
        <is>
          <t>VENTANA FENOLÓGICA — Deryng et al. (2014) (cita literal):
Crop TSP includes a couple of days before and after anthesis and is estimated as a function of crop growing period length (GPL), which depends on growing degree days accumulation [5] and varies with crop cultivars. Anthesis is scheduled when the number of days since emergence reaches half of crop GPL (calculated between emergence and maturity), i.e., 0.5 GPL; TSP starts a few days before anthesis at 0.45 GPL and ends after anthesis at 0.7 GPL. A high temperature event occurs when daily effective temperature (Teff) exceeds a critical temperature ( Tcr) threshold.
ESTADÍSTICO Y UMBRALES DEL MODELO — Deryng et al. (2014) (cita literal):
Teff is defined as ( Tmean+ Tmax)/2, where Tmean is the daily mean temperature and Tmax is the daily maximum tempera- ture [44], Tlim is the limit temperature above which fHSAd is maximal. Crop specific Tcr and Tlim come from a synthesis of values found in the literature [10, 11, 14, 33, 45–49] (table A.1). Temperature tolerance differs for each crop. Here, HSA critical temperature thresholds are 25 ◦C for spring wheat, 32◦C for maize and 35 ◦C for soybean. Hence, as temperatures increase spring wheat yield is impacted first, followed by maize and finally soybean. However, HSA impact functions differ among crop type as temperature thresholds at zero pod-set are 35◦C for spring wheat, 45◦C for maize and 40◦C for soybean.
COLUMNAS SOYBEAN: celdas de TablaA.1 — Deryng et al. (2014) (cita literal):
PEGASUS 1.1
35
40
Teixeira et al (2011) [14]
35
40</t>
        </is>
      </c>
      <c r="M22" s="39" t="inlineStr">
        <is>
          <t>pdf.pdf, PDF p.11 (impresa10), ApéndiceA.3, ecuaciónA.6 y TablaA.1; ref14 en PDF p.13.</t>
        </is>
      </c>
      <c r="N22" s="39" t="inlineStr">
        <is>
          <t>Abrir PDF de tu carpeta</t>
        </is>
      </c>
      <c r="O22" s="39" t="inlineStr">
        <is>
          <t>Regla adoptada enPEGASUS porDeryng2014; síntesis bibliográfica deTablaA.1. Teixeira2011[14] muestra los mismos35/40 para soya, pero su texto original no está en carpeta.</t>
        </is>
      </c>
    </row>
    <row r="23" spans="1:11" ht="332.5" customHeight="1">
      <c r="A23" s="37" t="s">
        <v>485</v>
      </c>
      <c r="B23" s="37" t="s">
        <v>471</v>
      </c>
      <c r="C23" s="37" t="inlineStr">
        <is>
          <t>Calor en antesis (modelo)</t>
        </is>
      </c>
      <c r="D23" s="37" t="inlineStr">
        <is>
          <t>Teff diaria=(Tmedia diaria+Tmáxima diaria)/2</t>
        </is>
      </c>
      <c r="E23" s="37" t="inlineStr">
        <is>
          <t>Teff &gt;35 °C; límite del modelo40 °C</t>
        </is>
      </c>
      <c r="F23" s="37" t="inlineStr">
        <is>
          <t>Diaria; sin mínimo de racha</t>
        </is>
      </c>
      <c r="G23" s="37" t="inlineStr">
        <is>
          <t>Contar días con Teff&gt;35 °C alrededor de antesis dentro de ventana sensible; registrar fechas reales de FLO. No sumar como evento distinto el mismo día registrado en REP.</t>
        </is>
      </c>
      <c r="H23" s="43" t="inlineStr">
        <is>
          <t>REGLA DEFINIDA · modelo</t>
        </is>
      </c>
      <c r="I23" s="39" t="inlineStr">
        <is>
          <t>Deryng et al. (2014)</t>
        </is>
      </c>
      <c r="J23" s="39" t="inlineStr">
        <is>
          <t>Parámetros de PEGASUS, no corte universal observado en campo. Comparte fuente y ventana con REP. No aplicar35 °C directamente a Tmax ni Tmedia por separado.
Revisión documental: Antesis→FLO; comparte ventana conREP, no duplicar eventos. Teff&gt;35 es inicio de reducción; a35 el factor diario sigue en1. No sustituirTeff porTmax.</t>
        </is>
      </c>
      <c r="K23" s="39" t="inlineStr">
        <is>
          <t>Nueva: Auditoría fila113; anterior: fila79</t>
        </is>
      </c>
      <c r="L23" s="39" t="inlineStr">
        <is>
          <t>VENTANA FENOLÓGICA — Deryng et al. (2014) (cita literal):
Crop TSP includes a couple of days before and after anthesis and is estimated as a function of crop growing period length (GPL), which depends on growing degree days accumulation [5] and varies with crop cultivars. Anthesis is scheduled when the number of days since emergence reaches half of crop GPL (calculated between emergence and maturity), i.e., 0.5 GPL; TSP starts a few days before anthesis at 0.45 GPL and ends after anthesis at 0.7 GPL. A high temperature event occurs when daily effective temperature (Teff) exceeds a critical temperature ( Tcr) threshold.
ESTADÍSTICO Y UMBRALES DEL MODELO — Deryng et al. (2014) (cita literal):
Teff is defined as ( Tmean+ Tmax)/2, where Tmean is the daily mean temperature and Tmax is the daily maximum tempera- ture [44], Tlim is the limit temperature above which fHSAd is maximal. Crop specific Tcr and Tlim come from a synthesis of values found in the literature [10, 11, 14, 33, 45–49] (table A.1). Temperature tolerance differs for each crop. Here, HSA critical temperature thresholds are 25 ◦C for spring wheat, 32◦C for maize and 35 ◦C for soybean. Hence, as temperatures increase spring wheat yield is impacted first, followed by maize and finally soybean. However, HSA impact functions differ among crop type as temperature thresholds at zero pod-set are 35◦C for spring wheat, 45◦C for maize and 40◦C for soybean.
COLUMNAS SOYBEAN: celdas de TablaA.1 — Deryng et al. (2014) (cita literal):
PEGASUS 1.1
35
40
Teixeira et al (2011) [14]
35
40</t>
        </is>
      </c>
      <c r="M23" s="39" t="inlineStr">
        <is>
          <t>pdf.pdf, PDF p.11 (impresa10), ApéndiceA.3, ecuaciónA.6 y TablaA.1; ref14 en PDF p.13.</t>
        </is>
      </c>
      <c r="N23" s="39" t="inlineStr">
        <is>
          <t>Abrir PDF de tu carpeta</t>
        </is>
      </c>
      <c r="O23" s="39" t="inlineStr">
        <is>
          <t>Regla adoptada enPEGASUS porDeryng2014; síntesis bibliográfica deTablaA.1. Teixeira2011[14] muestra los mismos35/40 para soya, pero su texto original no está en carpeta.</t>
        </is>
      </c>
    </row>
    <row r="24" spans="1:11" ht="146.3" customHeight="1">
      <c r="A24" s="37" t="s">
        <v>485</v>
      </c>
      <c r="B24" s="37" t="s">
        <v>476</v>
      </c>
      <c r="C24" s="37" t="s">
        <v>1328</v>
      </c>
      <c r="D24" s="37" t="s">
        <v>1473</v>
      </c>
      <c r="E24" s="37" t="s">
        <v>1474</v>
      </c>
      <c r="F24" s="37" t="s">
        <v>1475</v>
      </c>
      <c r="G24" s="37" t="s">
        <v>1629</v>
      </c>
      <c r="H24" s="43" t="s">
        <v>1613</v>
      </c>
      <c r="I24" s="39" t="inlineStr">
        <is>
          <t>Weerasekara et al. (2021)</t>
        </is>
      </c>
      <c r="J24" s="39" t="inlineStr">
        <is>
          <t>Regla definida para FIL por inclusión de R6 y comparabilidad de la precipitación acumulada. Clasifica una ventana húmeda; no identifica episodios individuales de lluvia.
Revisión documental: R6–R8 es una sola ventana, compartida entreFIL/MAT. No usar100mm/día ni100mm por cada fase; no sumar ambas filas como2eventos.</t>
        </is>
      </c>
      <c r="K24" s="39" t="s">
        <v>1476</v>
      </c>
      <c r="L24" s="39" t="inlineStr">
        <is>
          <t>DEFINICIÓN DE FASES — Weerasekara et al. (2021) (cita literal):
To understand the influence of production environment, the total growing period (TGP) was partitioned into three stages; (i) seed sowing (SS) to flowering (R1) as vegetative (VEG), (ii) flowering to full seed stage (R6) as early reproductive (ER), and (iii) full seed stage to full mature stage (R8) as late reproductive stage (LR).
AMENAZA Y PRECIPITACIÓN ACUMULADA — Weerasekara et al. (2021) (cita literal):
Maternal environmental conditions at the late reproductive stage (R6–R8) are the most critical factor in determining the initial seed quality. Rapid seed deterioration in the field occurred when more than 100 mm of cumulative rainfall coincided with the late reproductive stage.</t>
        </is>
      </c>
      <c r="M24" s="39" t="inlineStr">
        <is>
          <t>agronomy-11-01430-v3.pdf, PDF p.5 §3.1; PDF p.16 §5 Conclusions. Esta versión tiene19páginas; la conclusión NO está enp.17.</t>
        </is>
      </c>
      <c r="N24" s="39" t="inlineStr">
        <is>
          <t>Abrir PDF de tu carpeta</t>
        </is>
      </c>
      <c r="O24" s="39" t="inlineStr">
        <is>
          <t>Asociación observada porWeerasekara2021; &gt;100mm acumulados duranteR6–R8. No se identifica como breakpointcausal universal ni duración diaria.</t>
        </is>
      </c>
    </row>
    <row r="25" spans="1:11" ht="146.3" customHeight="1">
      <c r="A25" s="37" t="s">
        <v>485</v>
      </c>
      <c r="B25" s="37" t="s">
        <v>479</v>
      </c>
      <c r="C25" s="37" t="s">
        <v>1328</v>
      </c>
      <c r="D25" s="37" t="s">
        <v>1473</v>
      </c>
      <c r="E25" s="37" t="s">
        <v>1474</v>
      </c>
      <c r="F25" s="37" t="s">
        <v>1475</v>
      </c>
      <c r="G25" s="37" t="s">
        <v>1631</v>
      </c>
      <c r="H25" s="43" t="s">
        <v>1613</v>
      </c>
      <c r="I25" s="39" t="inlineStr">
        <is>
          <t>Weerasekara et al. (2021)</t>
        </is>
      </c>
      <c r="J25" s="39" t="inlineStr">
        <is>
          <t>Regla definida para MAT por el criterio acordado de ventana al límite. No sumar esta clasificación y la de FIL como dos eventos; no aplicar100mm solo a R8.
Revisión documental: R6–R8 es una sola ventana, compartida entreFIL/MAT. No usar100mm/día ni100mm por cada fase; no sumar ambas filas como2eventos.</t>
        </is>
      </c>
      <c r="K25" s="39" t="s">
        <v>1476</v>
      </c>
      <c r="L25" s="39" t="inlineStr">
        <is>
          <t>DEFINICIÓN DE FASES — Weerasekara et al. (2021) (cita literal):
To understand the influence of production environment, the total growing period (TGP) was partitioned into three stages; (i) seed sowing (SS) to flowering (R1) as vegetative (VEG), (ii) flowering to full seed stage (R6) as early reproductive (ER), and (iii) full seed stage to full mature stage (R8) as late reproductive stage (LR).
AMENAZA Y PRECIPITACIÓN ACUMULADA — Weerasekara et al. (2021) (cita literal):
Maternal environmental conditions at the late reproductive stage (R6–R8) are the most critical factor in determining the initial seed quality. Rapid seed deterioration in the field occurred when more than 100 mm of cumulative rainfall coincided with the late reproductive stage.</t>
        </is>
      </c>
      <c r="M25" s="39" t="inlineStr">
        <is>
          <t>agronomy-11-01430-v3.pdf, PDF p.5 §3.1; PDF p.16 §5 Conclusions. Esta versión tiene19páginas; la conclusión NO está enp.17.</t>
        </is>
      </c>
      <c r="N25" s="39" t="inlineStr">
        <is>
          <t>Abrir PDF de tu carpeta</t>
        </is>
      </c>
      <c r="O25" s="39" t="inlineStr">
        <is>
          <t>Asociación observada porWeerasekara2021; &gt;100mm acumulados duranteR6–R8. No se identifica como breakpointcausal universal ni duración diaria.</t>
        </is>
      </c>
    </row>
    <row r="26" spans="1:11" ht="119.7" customHeight="1">
      <c r="A26" s="37" t="s">
        <v>486</v>
      </c>
      <c r="B26" s="37" t="s">
        <v>465</v>
      </c>
      <c r="C26" s="37" t="inlineStr">
        <is>
          <t>Frío durante emergencia</t>
        </is>
      </c>
      <c r="D26" s="37" t="inlineStr">
        <is>
          <t>Temperatura media diaria del aire a 2 m</t>
        </is>
      </c>
      <c r="E26" s="37" t="inlineStr">
        <is>
          <t>Tmedia &lt;2 °C</t>
        </is>
      </c>
      <c r="F26" s="37" t="inlineStr">
        <is>
          <t>≥3 días consecutivos</t>
        </is>
      </c>
      <c r="G26" s="37" t="inlineStr">
        <is>
          <t>Contar rachas máximas≥3d con Tmedia&lt;2 °C en establecimiento inicial. Una racha de5d cuenta como1episodio, no3ventanas solapadas.</t>
        </is>
      </c>
      <c r="H26" s="43" t="inlineStr">
        <is>
          <t>REGLA DEFINIDA · riesgo climático</t>
        </is>
      </c>
      <c r="I26" s="39" t="inlineStr">
        <is>
          <t>Le Roux et al. (2024)</t>
        </is>
      </c>
      <c r="J26" s="39" t="inlineStr">
        <is>
          <t>El apartado cita evidencia fisiológica para retraso de emergencia/bajo vigor; no es nueva calibración de daño. Más de2d significa≥3d. No extrapolar a todo el crecimiento vegetativo.
Revisión documental: Más de2d→≥3d es interpretación aritmética. Retraso de emergencia/bajo vigor; no mortalidad universal. Comprobar temperatura del medio de germinación en fuenteoriginal antes de atribuirvalidaciónaire2m.</t>
        </is>
      </c>
      <c r="K26" s="39" t="inlineStr">
        <is>
          <t>Nueva: Auditoría fila114; anterior: fila82</t>
        </is>
      </c>
      <c r="L26" s="39" t="inlineStr">
        <is>
          <t>FASE, VARIABLE, CORTE Y DURACIÓN — Le Roux et al. (2024) (cita literal):
Moreover, during the initial seedling stage, low daily average temperatures below 2 °C (during more than 2 successive days) delay emergence and induce poor vigor plantlets33.
FUENTE ORIGINAL CITADA: referencia33 — Le Roux et al. (2024) (cita literal):
33. Jame, Y . W . &amp; Cutforth, H. W . Simulating the effects of temperature and seeding depth on germination and emergence of spring wheat. Agric. For. Meteorol. 124, 207–218 (2004).</t>
        </is>
      </c>
      <c r="M26" s="39" t="inlineStr">
        <is>
          <t>s41598-024-58826-w.pdf, PDF p.4 Ecoclimatic indicators for wheat; referencia33 en PDF p.12.</t>
        </is>
      </c>
      <c r="N26" s="39" t="inlineStr">
        <is>
          <t>Abrir PDF de tu carpeta</t>
        </is>
      </c>
      <c r="O26" s="39" t="inlineStr">
        <is>
          <t>LeRoux2024 declaraTmedia&lt;2°C por&gt;2d y citaJame/Cutforth2004. Jame no está en carpeta: cita secundaria, no verificación independiente de su método.</t>
        </is>
      </c>
    </row>
    <row r="27" spans="1:11" ht="172.9" customHeight="1">
      <c r="A27" s="37" t="s">
        <v>486</v>
      </c>
      <c r="B27" s="37" t="s">
        <v>468</v>
      </c>
      <c r="C27" s="37" t="s">
        <v>1252</v>
      </c>
      <c r="D27" s="37" t="s">
        <v>1483</v>
      </c>
      <c r="E27" s="37" t="s">
        <v>1484</v>
      </c>
      <c r="F27" s="37" t="s">
        <v>1485</v>
      </c>
      <c r="G27" s="37" t="s">
        <v>1486</v>
      </c>
      <c r="H27" s="43" t="s">
        <v>1613</v>
      </c>
      <c r="I27" s="39" t="inlineStr">
        <is>
          <t>Shroyer, Mikesell y Paulsen (1995), K-State C646</t>
        </is>
      </c>
      <c r="J27" s="39" t="inlineStr">
        <is>
          <t>Regla para jointing, subfase dentro de VEG: queda definida. Evaluar2h con datos horarios y conservar la limitación espacial de temperatura2m.
Revisión documental: La tabla imprime°C redondeados; el valor°C de la regla convierte°F con mayorprecisión, no es otro umbral. Operador≤ y búsqueda de intervalos son decisionesoperativas. Verificar transferencia a campo y subfase.</t>
        </is>
      </c>
      <c r="K27" s="39" t="s">
        <v>1487</v>
      </c>
      <c r="L27" s="39" t="inlineStr">
        <is>
          <t>FASE Y CORTE: transcripción de Tabla1 — Shroyer, Mikesell y Paulsen (1995), K-State C646 (cita literal):
Approximate injurious temperature (two hours)
Jointing
24 F (-4 C)
DURACIÓN Y ALCANCE — Shroyer, Mikesell y Paulsen (1995), K-State C646 (cita literal):
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t>
        </is>
      </c>
      <c r="M27" s="39" t="inlineStr">
        <is>
          <t>spring-freeze-injury-to-kansas-wheat_C646.pdf, PDF p.2 Tabla1, filaJointing; p.3 apartadoTemperatures that Cause Spring Freeze Injury.</t>
        </is>
      </c>
      <c r="N27" s="39" t="inlineStr">
        <is>
          <t>Abrir PDF de tu carpeta</t>
        </is>
      </c>
      <c r="O27" s="39" t="inlineStr">
        <is>
          <t>Guía técnicaK-StateC646, no paperexperimental. Tabla1 y párrafo explicativo dan corteaproximado y2h; no se inventa una fuenteoriginal paraTabla1.</t>
        </is>
      </c>
    </row>
    <row r="28" spans="1:11" ht="172.9" customHeight="1">
      <c r="A28" s="37" t="s">
        <v>486</v>
      </c>
      <c r="B28" s="37" t="s">
        <v>473</v>
      </c>
      <c r="C28" s="37" t="s">
        <v>1252</v>
      </c>
      <c r="D28" s="37" t="s">
        <v>1483</v>
      </c>
      <c r="E28" s="37" t="s">
        <v>1488</v>
      </c>
      <c r="F28" s="37" t="s">
        <v>1485</v>
      </c>
      <c r="G28" s="37" t="s">
        <v>1489</v>
      </c>
      <c r="H28" s="43" t="s">
        <v>1613</v>
      </c>
      <c r="I28" s="39" t="inlineStr">
        <is>
          <t>Shroyer, Mikesell y Paulsen (1995), K-State C646</t>
        </is>
      </c>
      <c r="J28" s="39" t="inlineStr">
        <is>
          <t>Regla para heading, subfase dentro de REP: queda definida. El corte de boot es distinto; no extender automáticamente30°F a todas las subfases.
Revisión documental: La tabla imprime°C redondeados; el valor°C de la regla convierte°F con mayorprecisión, no es otro umbral. Operador≤ y búsqueda de intervalos son decisionesoperativas. Verificar transferencia a campo y subfase.</t>
        </is>
      </c>
      <c r="K28" s="39" t="s">
        <v>1490</v>
      </c>
      <c r="L28" s="39" t="inlineStr">
        <is>
          <t>FASE Y CORTE: transcripción de Tabla1 — Shroyer, Mikesell y Paulsen (1995), K-State C646 (cita literal):
Approximate injurious temperature (two hours)
Heading
30 F (-1 C)
DURACIÓN Y ALCANCE — Shroyer, Mikesell y Paulsen (1995), K-State C646 (cita literal):
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t>
        </is>
      </c>
      <c r="M28" s="39" t="inlineStr">
        <is>
          <t>spring-freeze-injury-to-kansas-wheat_C646.pdf, PDF p.2 Tabla1, filaHeading; p.3 apartadoTemperatures that Cause Spring Freeze Injury.</t>
        </is>
      </c>
      <c r="N28" s="39" t="inlineStr">
        <is>
          <t>Abrir PDF de tu carpeta</t>
        </is>
      </c>
      <c r="O28" s="39" t="inlineStr">
        <is>
          <t>Guía técnicaK-StateC646, no paperexperimental. Tabla1 y párrafo explicativo dan corteaproximado y2h; no se inventa una fuenteoriginal paraTabla1.</t>
        </is>
      </c>
    </row>
    <row r="29" spans="1:11" ht="172.9" customHeight="1">
      <c r="A29" s="37" t="s">
        <v>486</v>
      </c>
      <c r="B29" s="37" t="s">
        <v>471</v>
      </c>
      <c r="C29" s="37" t="s">
        <v>1252</v>
      </c>
      <c r="D29" s="37" t="s">
        <v>1483</v>
      </c>
      <c r="E29" s="37" t="s">
        <v>1488</v>
      </c>
      <c r="F29" s="37" t="s">
        <v>1485</v>
      </c>
      <c r="G29" s="37" t="s">
        <v>1489</v>
      </c>
      <c r="H29" s="43" t="s">
        <v>1613</v>
      </c>
      <c r="I29" s="39" t="inlineStr">
        <is>
          <t>Shroyer, Mikesell y Paulsen (1995), K-State C646</t>
        </is>
      </c>
      <c r="J29" s="39" t="inlineStr">
        <is>
          <t>Validar aire2m respecto a temperatura real de campo y transferencia de Kansas.
Revisión documental: La tabla imprime°C redondeados; el valor°C de la regla convierte°F con mayorprecisión, no es otro umbral. Operador≤ y búsqueda de intervalos son decisionesoperativas. Verificar transferencia a campo y subfase.</t>
        </is>
      </c>
      <c r="K29" s="39" t="s">
        <v>1492</v>
      </c>
      <c r="L29" s="39" t="inlineStr">
        <is>
          <t>FASE Y CORTE: transcripción de Tabla1 — Shroyer, Mikesell y Paulsen (1995), K-State C646 (cita literal):
Approximate injurious temperature (two hours)
Flowering
30 F (-1 C)
DURACIÓN Y ALCANCE — Shroyer, Mikesell y Paulsen (1995), K-State C646 (cita literal):
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t>
        </is>
      </c>
      <c r="M29" s="39" t="inlineStr">
        <is>
          <t>spring-freeze-injury-to-kansas-wheat_C646.pdf, PDF p.2 Tabla1, filaFlowering; p.3 apartadoTemperatures that Cause Spring Freeze Injury.</t>
        </is>
      </c>
      <c r="N29" s="39" t="inlineStr">
        <is>
          <t>Abrir PDF de tu carpeta</t>
        </is>
      </c>
      <c r="O29" s="39" t="inlineStr">
        <is>
          <t>Guía técnicaK-StateC646, no paperexperimental. Tabla1 y párrafo explicativo dan corteaproximado y2h; no se inventa una fuenteoriginal paraTabla1.</t>
        </is>
      </c>
    </row>
    <row r="30" spans="1:11" ht="172.9" customHeight="1">
      <c r="A30" s="37" t="s">
        <v>486</v>
      </c>
      <c r="B30" s="37" t="s">
        <v>476</v>
      </c>
      <c r="C30" s="37" t="s">
        <v>1252</v>
      </c>
      <c r="D30" s="37" t="s">
        <v>1483</v>
      </c>
      <c r="E30" s="37" t="s">
        <v>1493</v>
      </c>
      <c r="F30" s="37" t="s">
        <v>1485</v>
      </c>
      <c r="G30" s="37" t="s">
        <v>1494</v>
      </c>
      <c r="H30" s="43" t="s">
        <v>1613</v>
      </c>
      <c r="I30" s="39" t="inlineStr">
        <is>
          <t>Shroyer, Mikesell y Paulsen (1995), K-State C646</t>
        </is>
      </c>
      <c r="J30" s="39" t="inlineStr">
        <is>
          <t>Regla para milk/dough, subfases dentro de FIL: queda definida. No extender después de madurez fisiológica; validar la temperatura local.
Revisión documental: La tabla imprime°C redondeados; el valor°C de la regla convierte°F con mayorprecisión, no es otro umbral. Operador≤ y búsqueda de intervalos son decisionesoperativas. Verificar transferencia a campo y subfase.</t>
        </is>
      </c>
      <c r="K30" s="39" t="s">
        <v>1495</v>
      </c>
      <c r="L30" s="39" t="inlineStr">
        <is>
          <t>FASE Y CORTE: transcripción de Tabla1 — Shroyer, Mikesell y Paulsen (1995), K-State C646 (cita literal):
Approximate injurious temperature (two hours)
Milk
28 F (-2 C)
DURACIÓN Y ALCANCE — Shroyer, Mikesell y Paulsen (1995), K-State C646 (cita literal):
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t>
        </is>
      </c>
      <c r="M30" s="39" t="inlineStr">
        <is>
          <t>spring-freeze-injury-to-kansas-wheat_C646.pdf, PDF p.2 Tabla1, filaMilk; p.3 apartadoTemperatures that Cause Spring Freeze Injury.</t>
        </is>
      </c>
      <c r="N30" s="39" t="inlineStr">
        <is>
          <t>Abrir PDF de tu carpeta</t>
        </is>
      </c>
      <c r="O30" s="39" t="inlineStr">
        <is>
          <t>Guía técnicaK-StateC646, no paperexperimental. Tabla1 y párrafo explicativo dan corteaproximado y2h; no se inventa una fuenteoriginal paraTabla1.</t>
        </is>
      </c>
    </row>
    <row r="31" spans="1:11" ht="159.60000000000002" customHeight="1">
      <c r="A31" s="37" t="s">
        <v>486</v>
      </c>
      <c r="B31" s="37" t="s">
        <v>479</v>
      </c>
      <c r="C31" s="37" t="inlineStr">
        <is>
          <t>Lluvia / longevidad de semilla</t>
        </is>
      </c>
      <c r="D31" s="37" t="inlineStr">
        <is>
          <t>Precipitación diaria; dos exposiciones sucesivas</t>
        </is>
      </c>
      <c r="E31" s="37" t="inlineStr">
        <is>
          <t>25 mm/día, tratamiento; filtro propuesto P≥25 mm/día</t>
        </is>
      </c>
      <c r="F31" s="37" t="inlineStr">
        <is>
          <t>2 días consecutivos</t>
        </is>
      </c>
      <c r="G31" s="37" t="inlineStr">
        <is>
          <t>Buscar rachas≥2d con P≥25 mm cada día, una vez por racha. ≥ es filtro propuesto; el paper ensaya25mm. No sustituir por50mm en un solo día.</t>
        </is>
      </c>
      <c r="H31" s="43" t="inlineStr">
        <is>
          <t>REGLA DEFINIDA · experimental</t>
        </is>
      </c>
      <c r="I31" s="39" t="inlineStr">
        <is>
          <t>Ellis y Yadav (2016)</t>
        </is>
      </c>
      <c r="J31" s="39" t="inlineStr">
        <is>
          <t>Efecto medido: longevidad de semilla, con posible recuperación. No hubo germinación precosecha.25mm no es mínimo universal de daño. Transferencia al campo y filtro≥ son decisiones analíticas.
Revisión documental: No hubo germinaciónprecosecha. Amenaza medida: longevidad de semilla, con recuperaciónposible. No sustituir2×25mm por50mm en1día.</t>
        </is>
      </c>
      <c r="K31" s="39" t="inlineStr">
        <is>
          <t>Nueva: Auditoría fila115; anterior: fila108</t>
        </is>
      </c>
      <c r="L31" s="39" t="inlineStr">
        <is>
          <t>FASE Y DOSIS EXPERIMENTAL — Ellis y Yadav (2016) (cita literal):
The rainfall simulation was the equivalent of 25 mm rainfall, with two treatments applied late in seed maturation. Control plants were harvested at 55 (10 August), 56 (11 August) or 62 DAA (17 August). Wetting 1 was at 56 DAA, with seeds harvested 30 min after wetting (nominally 56.02 DAA) and 6 d later (62 DAA). The second treatment comprised two simulated rainfall events 1 d apart, each of 25 mm, at 55 and 56 DAA.
AMENAZA Y REVERSIBILIDAD — Ellis y Yadav (2016) (cita literal):
rainfall causing ear wetting in planta late in maturation drying, insufficient to result in pre-harvest sprouting, may nonetheless reduce subsequent ex planta air-dry seed longevity immediately, but that in such circumstances the damage can be reversed by delaying harvest to enable a period of re-drying in planta .</t>
        </is>
      </c>
      <c r="M31" s="39" t="inlineStr">
        <is>
          <t>effect-of-simulated-rainfall-during-wheat-seed-development-and-maturation-on-subsequent-seed-longevity-is-reversible.pdf; PDF pp.2–3 (impresas68–69), Methods2010; p.8 (74) discusión.</t>
        </is>
      </c>
      <c r="N31" s="39" t="inlineStr">
        <is>
          <t>Abrir PDF de tu carpeta</t>
        </is>
      </c>
      <c r="O31" s="39" t="inlineStr">
        <is>
          <t>Tratamiento directoEllis/Yadav2016:2aplicaciones de25mm separadas1d en55/56DAA. Sin fuentecomplementaria para dosis. P≥25mm es filtroanalítico nuestro, no umbralmínimo publicado.</t>
        </is>
      </c>
    </row>
  </sheetData>
  <mergeCells count="5">
    <mergeCell ref="A1:K1"/>
    <mergeCell ref="A2:K2"/>
    <mergeCell ref="A3:K3"/>
    <mergeCell ref="A4:K4"/>
    <mergeCell ref="A5:K5"/>
  </mergeCells>
  <hyperlinks>
    <hyperlink ref="K8" location="'Auditoría web'!A68" display="Auditoría fila68" xr:uid="{00000000-0004-0000-0000-000000000000}"/>
    <hyperlink ref="K9" location="'Auditoría web'!A70" display="Auditoría fila70" xr:uid="{00000000-0004-0000-0000-000002000000}"/>
    <hyperlink ref="K10" location="'Auditoría web'!A89" display="Auditoría fila89" xr:uid="{00000000-0004-0000-0000-000004000000}"/>
    <hyperlink ref="K11" location="'Auditoría web'!A89" display="Auditoría fila89" xr:uid="{00000000-0004-0000-0000-000006000000}"/>
    <hyperlink ref="K12" location="'Auditoría web'!A90" display="Auditoría fila90" xr:uid="{00000000-0004-0000-0000-000008000000}"/>
    <hyperlink ref="K14" location="'Auditoría web'!A91" display="Auditoría fila91" xr:uid="{00000000-0004-0000-0000-00000C000000}"/>
    <hyperlink ref="K15" location="'Auditoría web'!A75" display="Auditoría fila75" xr:uid="{00000000-0004-0000-0000-00000E000000}"/>
    <hyperlink ref="K16" location="'Auditoría web'!A93" display="Auditoría fila93" xr:uid="{00000000-0004-0000-0000-000010000000}"/>
    <hyperlink ref="K17" location="'Auditoría web'!A94" display="Auditoría fila94" xr:uid="{00000000-0004-0000-0000-000012000000}"/>
    <hyperlink ref="K18" location="'Auditoría web'!A95" display="Auditoría fila95" xr:uid="{00000000-0004-0000-0000-000014000000}"/>
    <hyperlink ref="K19" location="'Auditoría web'!A92" display="Auditoría fila92" xr:uid="{00000000-0004-0000-0000-000016000000}"/>
    <hyperlink ref="K24" location="'Auditoría web'!A81" display="Auditoría fila49" xr:uid="{00000000-0004-0000-0000-000020000000}"/>
    <hyperlink ref="K25" location="'Auditoría web'!A81" display="Auditoría fila81" xr:uid="{00000000-0004-0000-0000-000022000000}"/>
    <hyperlink ref="K27" location="'Auditoría web'!A97" display="Auditoría fila97" xr:uid="{00000000-0004-0000-0000-000026000000}"/>
    <hyperlink ref="K28" location="'Auditoría web'!A99" display="Auditoría fila99" xr:uid="{00000000-0004-0000-0000-000028000000}"/>
    <hyperlink ref="K29" location="'Auditoría web'!A100" display="Auditoría fila100" xr:uid="{00000000-0004-0000-0000-00002A000000}"/>
    <hyperlink ref="K30" location="'Auditoría web'!A101" display="Auditoría fila101" xr:uid="{00000000-0004-0000-0000-00002C000000}"/>
    <hyperlink ref="K13" location="'Auditoría web'!AB109"/>
    <hyperlink ref="K20" location="'Auditoría web'!AB110"/>
    <hyperlink ref="K21" location="'Auditoría web'!AB111"/>
    <hyperlink ref="K22" location="'Auditoría web'!AB112"/>
    <hyperlink ref="K23" location="'Auditoría web'!AB113"/>
    <hyperlink ref="K26" location="'Auditoría web'!AB114"/>
    <hyperlink ref="K31" location="'Auditoría web'!AB115"/>
    <hyperlink ref="I8" r:id="rId1"/>
    <hyperlink ref="N8" r:id="rId33"/>
    <hyperlink ref="O8" r:id="rId34"/>
    <hyperlink ref="I9" r:id="rId2"/>
    <hyperlink ref="N9" r:id="rId35"/>
    <hyperlink ref="O9" r:id="rId36"/>
    <hyperlink ref="I10" r:id="rId3"/>
    <hyperlink ref="N10" r:id="rId37"/>
    <hyperlink ref="O10" r:id="rId38"/>
    <hyperlink ref="I11" r:id="rId4"/>
    <hyperlink ref="N11" r:id="rId39"/>
    <hyperlink ref="O11" r:id="rId40"/>
    <hyperlink ref="I12" r:id="rId5"/>
    <hyperlink ref="N12" r:id="rId41"/>
    <hyperlink ref="O12" r:id="rId42"/>
    <hyperlink ref="I13" r:id="rId6"/>
    <hyperlink ref="N13" r:id="rId26"/>
    <hyperlink ref="I14" r:id="rId7"/>
    <hyperlink ref="N14" r:id="rId43"/>
    <hyperlink ref="I19" r:id="rId12"/>
    <hyperlink ref="N19" r:id="rId44"/>
    <hyperlink ref="I15" r:id="rId8"/>
    <hyperlink ref="N15" r:id="rId45"/>
    <hyperlink ref="I16" r:id="rId9"/>
    <hyperlink ref="N16" r:id="rId46"/>
    <hyperlink ref="I17" r:id="rId10"/>
    <hyperlink ref="N17" r:id="rId47"/>
    <hyperlink ref="I18" r:id="rId11"/>
    <hyperlink ref="N18" r:id="rId48"/>
    <hyperlink ref="I20" r:id="rId13"/>
    <hyperlink ref="N20" r:id="rId27"/>
    <hyperlink ref="I21" r:id="rId14"/>
    <hyperlink ref="N21" r:id="rId28"/>
    <hyperlink ref="I22" r:id="rId15"/>
    <hyperlink ref="N22" r:id="rId29"/>
    <hyperlink ref="I23" r:id="rId16"/>
    <hyperlink ref="N23" r:id="rId30"/>
    <hyperlink ref="I24" r:id="rId17"/>
    <hyperlink ref="N24" r:id="rId49"/>
    <hyperlink ref="I25" r:id="rId18"/>
    <hyperlink ref="N25" r:id="rId50"/>
    <hyperlink ref="I26" r:id="rId19"/>
    <hyperlink ref="N26" r:id="rId31"/>
    <hyperlink ref="I27" r:id="rId20"/>
    <hyperlink ref="N27" r:id="rId51"/>
    <hyperlink ref="I28" r:id="rId21"/>
    <hyperlink ref="N28" r:id="rId52"/>
    <hyperlink ref="I29" r:id="rId22"/>
    <hyperlink ref="N29" r:id="rId53"/>
    <hyperlink ref="I30" r:id="rId23"/>
    <hyperlink ref="N30" r:id="rId54"/>
    <hyperlink ref="I31" r:id="rId24"/>
    <hyperlink ref="N31" r:id="rId32"/>
  </hyperlinks>
  <pageMargins left="0.7" right="0.7" top="0.75" bottom="0.75" header="0.3" footer="0.3"/>
  <tableParts count="1">
    <tablePart r:id="rId2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5792-0ED6-4C62-92EA-7B7B2C8CF54D}">
  <dimension ref="A1:AM115"/>
  <sheetViews>
    <sheetView showGridLines="0" topLeftCell="AE31" zoomScale="53" zoomScaleNormal="40" workbookViewId="0">
      <selection activeCell="AA75" sqref="AA75:AA95"/>
    </sheetView>
  </sheetViews>
  <sheetFormatPr baseColWidth="10" defaultColWidth="8.6640625" defaultRowHeight="14"/>
  <cols>
    <col min="1" max="1" width="12" customWidth="1"/>
    <col min="2" max="2" width="12.5" customWidth="1"/>
    <col min="3" max="3" width="24" customWidth="1"/>
    <col min="4" max="4" width="13.75" customWidth="1"/>
    <col min="5" max="5" width="25.9140625" customWidth="1"/>
    <col min="6" max="6" width="18" customWidth="1"/>
    <col min="7" max="7" width="23.08203125" customWidth="1"/>
    <col min="8" max="8" width="34" customWidth="1"/>
    <col min="9" max="9" width="13.9140625" customWidth="1"/>
    <col min="10" max="10" width="10" customWidth="1"/>
    <col min="11" max="11" width="72" customWidth="1"/>
    <col min="12" max="12" width="29.1640625" customWidth="1"/>
    <col min="13" max="13" width="14.1640625" customWidth="1"/>
    <col min="14" max="14" width="20" customWidth="1"/>
    <col min="15" max="15" width="14.33203125" customWidth="1"/>
    <col min="16" max="16" width="25" customWidth="1"/>
    <col min="17" max="17" width="65" customWidth="1"/>
    <col min="18" max="18" width="39" style="14" customWidth="1"/>
    <col min="19" max="19" width="35" style="3" customWidth="1"/>
    <col min="20" max="20" width="27" customWidth="1"/>
    <col min="21" max="21" width="22" customWidth="1"/>
    <col min="22" max="22" width="28" customWidth="1"/>
    <col min="23" max="23" width="35" customWidth="1"/>
    <col min="24" max="24" width="43" customWidth="1"/>
    <col min="25" max="25" width="65" customWidth="1"/>
    <col min="26" max="26" width="60" customWidth="1"/>
    <col min="27" max="27" width="30" customWidth="1"/>
    <col min="28" max="28" width="110" customWidth="1"/>
    <col min="29" max="29" width="42" customWidth="1"/>
    <col min="30" max="30" width="50" customWidth="1"/>
    <col min="31" max="31" width="75" customWidth="1"/>
    <col min="32" max="32" width="43" customWidth="1"/>
    <col min="33" max="33" width="19" customWidth="1"/>
    <col min="34" max="34" width="45" customWidth="1"/>
    <col min="35" max="35" width="42" customWidth="1"/>
    <col min="36" max="36" width="55" customWidth="1"/>
    <col min="37" max="37" width="80" customWidth="1"/>
    <col min="38" max="38" width="75" customWidth="1"/>
    <col min="39" max="39" width="85" customWidth="1"/>
  </cols>
  <sheetData>
    <row r="1" spans="1:39" ht="20">
      <c r="A1" s="46" t="s">
        <v>0</v>
      </c>
      <c r="B1" s="46"/>
      <c r="C1" s="46"/>
      <c r="D1" s="46"/>
      <c r="E1" s="46"/>
      <c r="F1" s="46"/>
      <c r="G1" s="46"/>
      <c r="H1" s="46"/>
      <c r="I1" s="46"/>
      <c r="J1" s="46"/>
      <c r="K1" s="46"/>
      <c r="L1" s="46"/>
      <c r="M1" s="46"/>
      <c r="N1" s="46"/>
      <c r="O1" s="46"/>
      <c r="P1" s="46"/>
      <c r="Q1" s="46"/>
    </row>
    <row r="2" spans="1:39">
      <c r="A2" s="47" t="s">
        <v>654</v>
      </c>
      <c r="B2" s="47"/>
      <c r="C2" s="47"/>
      <c r="D2" s="47"/>
      <c r="E2" s="47"/>
      <c r="F2" s="47"/>
      <c r="G2" s="47"/>
      <c r="H2" s="47"/>
      <c r="I2" s="47"/>
      <c r="J2" s="47"/>
      <c r="K2" s="47"/>
      <c r="L2" s="47"/>
      <c r="M2" s="47"/>
      <c r="N2" s="47"/>
      <c r="O2" s="47"/>
      <c r="P2" s="47"/>
      <c r="Q2" s="47"/>
    </row>
    <row r="4" spans="1:39" ht="28">
      <c r="A4" s="2" t="s">
        <v>1</v>
      </c>
      <c r="B4" s="2" t="s">
        <v>2</v>
      </c>
      <c r="C4" s="2" t="s">
        <v>3</v>
      </c>
      <c r="D4" s="2" t="s">
        <v>4</v>
      </c>
      <c r="E4" s="2" t="s">
        <v>5</v>
      </c>
      <c r="F4" s="2" t="s">
        <v>6</v>
      </c>
      <c r="G4" s="2" t="s">
        <v>7</v>
      </c>
      <c r="H4" s="2" t="s">
        <v>8</v>
      </c>
      <c r="I4" s="2" t="s">
        <v>9</v>
      </c>
      <c r="J4" s="2" t="s">
        <v>10</v>
      </c>
      <c r="K4" s="2" t="s">
        <v>11</v>
      </c>
      <c r="L4" s="2" t="s">
        <v>12</v>
      </c>
      <c r="M4" s="2" t="s">
        <v>13</v>
      </c>
      <c r="N4" s="2" t="s">
        <v>14</v>
      </c>
      <c r="O4" s="2" t="s">
        <v>15</v>
      </c>
      <c r="P4" s="2" t="s">
        <v>16</v>
      </c>
      <c r="Q4" s="2" t="s">
        <v>17</v>
      </c>
      <c r="R4" s="14" t="s">
        <v>18</v>
      </c>
      <c r="S4" s="4" t="s">
        <v>19</v>
      </c>
      <c r="T4" s="19" t="s">
        <v>655</v>
      </c>
      <c r="U4" s="19" t="s">
        <v>656</v>
      </c>
      <c r="V4" s="19" t="s">
        <v>657</v>
      </c>
      <c r="W4" s="30" t="s">
        <v>1081</v>
      </c>
      <c r="X4" s="30" t="s">
        <v>1082</v>
      </c>
      <c r="Y4" s="30" t="s">
        <v>1083</v>
      </c>
      <c r="Z4" s="30" t="s">
        <v>1084</v>
      </c>
      <c r="AA4" s="20" t="s">
        <v>738</v>
      </c>
      <c r="AB4" s="20" t="s">
        <v>739</v>
      </c>
      <c r="AC4" s="20" t="s">
        <v>740</v>
      </c>
      <c r="AD4" s="20" t="s">
        <v>741</v>
      </c>
      <c r="AE4" s="20" t="s">
        <v>742</v>
      </c>
      <c r="AF4" s="20" t="s">
        <v>743</v>
      </c>
      <c r="AG4" s="20" t="s">
        <v>744</v>
      </c>
      <c r="AH4" s="20" t="s">
        <v>745</v>
      </c>
      <c r="AI4" s="30" t="s">
        <v>1085</v>
      </c>
      <c r="AJ4" s="30" t="s">
        <v>1086</v>
      </c>
      <c r="AK4" s="30" t="s">
        <v>1087</v>
      </c>
      <c r="AL4" s="30" t="s">
        <v>1088</v>
      </c>
      <c r="AM4" s="30" t="s">
        <v>1089</v>
      </c>
    </row>
    <row r="5" spans="1:39" ht="80" hidden="1" customHeight="1">
      <c r="A5" s="3" t="s">
        <v>483</v>
      </c>
      <c r="B5" s="3" t="s">
        <v>20</v>
      </c>
      <c r="C5" s="4" t="s">
        <v>21</v>
      </c>
      <c r="D5" s="4" t="s">
        <v>22</v>
      </c>
      <c r="E5" s="4" t="s">
        <v>23</v>
      </c>
      <c r="F5" s="4" t="s">
        <v>24</v>
      </c>
      <c r="G5" s="4" t="s">
        <v>25</v>
      </c>
      <c r="H5" s="4" t="s">
        <v>26</v>
      </c>
      <c r="I5" s="4" t="s">
        <v>27</v>
      </c>
      <c r="J5" s="5">
        <v>4</v>
      </c>
      <c r="K5" s="4" t="s">
        <v>28</v>
      </c>
      <c r="L5" s="4" t="s">
        <v>29</v>
      </c>
      <c r="M5" s="6" t="str">
        <f>HYPERLINK("file:///C:/Users/paola/Tesis/04_Bibliography/01_FenologÃ­a%20y%20umbrales/Otros%20de%20fenologÃ­a/54_PMC12928403.pdf","Abrir PDF local")</f>
        <v>Abrir PDF local</v>
      </c>
      <c r="N5" s="6" t="str">
        <f>HYPERLINK("https://doi.org/10.1371/journal.pone.0340773","Abrir fuente en línea")</f>
        <v>Abrir fuente en línea</v>
      </c>
      <c r="O5" s="3" t="s">
        <v>30</v>
      </c>
      <c r="P5" s="4" t="s">
        <v>31</v>
      </c>
      <c r="Q5" s="7" t="s">
        <v>32</v>
      </c>
      <c r="R5" s="14" t="s">
        <v>33</v>
      </c>
      <c r="S5" s="41" t="s">
        <v>465</v>
      </c>
      <c r="T5" s="19" t="s">
        <v>1500</v>
      </c>
      <c r="U5" s="19" t="s">
        <v>658</v>
      </c>
      <c r="V5" s="19" t="s">
        <v>659</v>
      </c>
      <c r="W5" s="32" t="s">
        <v>1501</v>
      </c>
      <c r="X5" s="29" t="s">
        <v>1502</v>
      </c>
      <c r="Y5" s="29" t="s">
        <v>1503</v>
      </c>
      <c r="Z5" s="29" t="s">
        <v>1504</v>
      </c>
      <c r="AI5" s="31" t="s">
        <v>1090</v>
      </c>
      <c r="AJ5" s="29" t="s">
        <v>33</v>
      </c>
      <c r="AK5" s="29" t="s">
        <v>1091</v>
      </c>
      <c r="AL5" s="29" t="s">
        <v>1092</v>
      </c>
      <c r="AM5" s="29" t="s">
        <v>1093</v>
      </c>
    </row>
    <row r="6" spans="1:39" ht="136" hidden="1" customHeight="1">
      <c r="A6" s="3" t="s">
        <v>483</v>
      </c>
      <c r="B6" s="35" t="s">
        <v>35</v>
      </c>
      <c r="C6" s="36" t="s">
        <v>36</v>
      </c>
      <c r="D6" s="4" t="s">
        <v>37</v>
      </c>
      <c r="E6" s="4" t="s">
        <v>38</v>
      </c>
      <c r="F6" s="4" t="s">
        <v>39</v>
      </c>
      <c r="G6" s="4" t="s">
        <v>40</v>
      </c>
      <c r="H6" s="4" t="s">
        <v>41</v>
      </c>
      <c r="I6" s="4" t="s">
        <v>42</v>
      </c>
      <c r="J6" s="5">
        <v>1</v>
      </c>
      <c r="K6" s="4" t="s">
        <v>43</v>
      </c>
      <c r="L6" s="4" t="s">
        <v>44</v>
      </c>
      <c r="M6" s="6" t="str">
        <f>HYPERLINK("file:///C:/Users/paola/Tesis/04_Bibliography/01_FenologÃ­a%20y%20umbrales/Otros%20de%20fenologÃ­a/55_PMC5854116.pdf","Abrir PDF local")</f>
        <v>Abrir PDF local</v>
      </c>
      <c r="N6" s="6" t="str">
        <f>HYPERLINK("https://doi.org/10.1093/jxb/erx381","Abrir fuente en línea")</f>
        <v>Abrir fuente en línea</v>
      </c>
      <c r="O6" s="3" t="s">
        <v>45</v>
      </c>
      <c r="P6" s="4" t="s">
        <v>31</v>
      </c>
      <c r="Q6" s="7" t="s">
        <v>46</v>
      </c>
      <c r="R6" s="4" t="s">
        <v>47</v>
      </c>
      <c r="S6" s="41" t="s">
        <v>468</v>
      </c>
      <c r="T6" s="19" t="s">
        <v>660</v>
      </c>
      <c r="U6" s="19" t="s">
        <v>661</v>
      </c>
      <c r="V6" s="19" t="s">
        <v>662</v>
      </c>
      <c r="W6" s="31" t="s">
        <v>1094</v>
      </c>
      <c r="X6" s="29" t="s">
        <v>1095</v>
      </c>
      <c r="Y6" s="29" t="s">
        <v>1096</v>
      </c>
      <c r="Z6" s="29" t="s">
        <v>1097</v>
      </c>
      <c r="AI6" s="31" t="s">
        <v>1098</v>
      </c>
      <c r="AJ6" s="29" t="s">
        <v>47</v>
      </c>
      <c r="AK6" s="29" t="s">
        <v>1099</v>
      </c>
      <c r="AL6" s="29" t="s">
        <v>1100</v>
      </c>
      <c r="AM6" s="29" t="s">
        <v>1093</v>
      </c>
    </row>
    <row r="7" spans="1:39" ht="164" hidden="1" customHeight="1">
      <c r="A7" s="3" t="s">
        <v>483</v>
      </c>
      <c r="B7" s="3" t="s">
        <v>49</v>
      </c>
      <c r="C7" s="4" t="s">
        <v>50</v>
      </c>
      <c r="D7" s="4" t="s">
        <v>51</v>
      </c>
      <c r="E7" s="4" t="s">
        <v>52</v>
      </c>
      <c r="F7" s="4" t="s">
        <v>53</v>
      </c>
      <c r="G7" s="4" t="s">
        <v>54</v>
      </c>
      <c r="H7" s="4" t="s">
        <v>55</v>
      </c>
      <c r="I7" s="4" t="s">
        <v>56</v>
      </c>
      <c r="J7" s="5">
        <v>1</v>
      </c>
      <c r="K7" s="4" t="s">
        <v>57</v>
      </c>
      <c r="L7" s="4" t="s">
        <v>58</v>
      </c>
      <c r="M7" s="6" t="str">
        <f>HYPERLINK("file:///C:/Users/paola/Tesis/04_Bibliography/01_FenologÃ­a%20y%20umbrales/Otros%20de%20fenologÃ­a/56_PMC6405865.pdf","Abrir PDF local")</f>
        <v>Abrir PDF local</v>
      </c>
      <c r="N7" s="6" t="str">
        <f>HYPERLINK("https://europepmc.org/articles/PMC6405865","Abrir fuente en línea")</f>
        <v>Abrir fuente en línea</v>
      </c>
      <c r="O7" s="3" t="s">
        <v>59</v>
      </c>
      <c r="P7" s="4" t="s">
        <v>31</v>
      </c>
      <c r="Q7" s="7" t="s">
        <v>60</v>
      </c>
      <c r="R7" s="4" t="s">
        <v>61</v>
      </c>
      <c r="S7" s="41" t="s">
        <v>468</v>
      </c>
      <c r="T7" s="19" t="s">
        <v>1505</v>
      </c>
      <c r="U7" s="19" t="s">
        <v>663</v>
      </c>
      <c r="V7" s="19" t="s">
        <v>664</v>
      </c>
      <c r="W7" s="32" t="s">
        <v>1506</v>
      </c>
      <c r="X7" s="29" t="s">
        <v>1507</v>
      </c>
      <c r="Y7" s="29" t="s">
        <v>1508</v>
      </c>
      <c r="Z7" s="29" t="s">
        <v>1509</v>
      </c>
      <c r="AI7" s="31" t="s">
        <v>1101</v>
      </c>
      <c r="AJ7" s="29" t="s">
        <v>61</v>
      </c>
      <c r="AK7" s="29" t="s">
        <v>1102</v>
      </c>
      <c r="AL7" s="29" t="s">
        <v>1100</v>
      </c>
      <c r="AM7" s="29" t="s">
        <v>1093</v>
      </c>
    </row>
    <row r="8" spans="1:39" ht="108" hidden="1" customHeight="1">
      <c r="A8" s="3" t="s">
        <v>483</v>
      </c>
      <c r="B8" s="3" t="s">
        <v>62</v>
      </c>
      <c r="C8" s="4" t="s">
        <v>63</v>
      </c>
      <c r="D8" s="4" t="s">
        <v>64</v>
      </c>
      <c r="E8" s="4" t="s">
        <v>65</v>
      </c>
      <c r="F8" s="4" t="s">
        <v>66</v>
      </c>
      <c r="G8" s="4" t="s">
        <v>67</v>
      </c>
      <c r="H8" s="4" t="s">
        <v>68</v>
      </c>
      <c r="I8" s="4" t="s">
        <v>69</v>
      </c>
      <c r="J8" s="5">
        <v>1</v>
      </c>
      <c r="K8" s="4" t="s">
        <v>70</v>
      </c>
      <c r="L8" s="4" t="s">
        <v>71</v>
      </c>
      <c r="M8" s="6" t="str">
        <f>HYPERLINK("file:///C:/Users/paola/Tesis/04_Bibliography/01_Fenología%20y%20umbrales/03_MULTI_CALOR_MULTI_From_the_floret_to_the_canopy_High_temperature_toleranc.pdf","Abrir PDF local")</f>
        <v>Abrir PDF local</v>
      </c>
      <c r="N8" s="6" t="str">
        <f>HYPERLINK("https://doi.org/10.1016/j.xplc.2023.100629","Abrir fuente en línea")</f>
        <v>Abrir fuente en línea</v>
      </c>
      <c r="O8" s="3" t="s">
        <v>72</v>
      </c>
      <c r="P8" s="4" t="s">
        <v>31</v>
      </c>
      <c r="Q8" s="7" t="s">
        <v>73</v>
      </c>
      <c r="R8" s="4" t="s">
        <v>74</v>
      </c>
      <c r="S8" s="41" t="s">
        <v>471</v>
      </c>
      <c r="T8" s="19" t="s">
        <v>1510</v>
      </c>
      <c r="U8" s="19" t="s">
        <v>665</v>
      </c>
      <c r="V8" s="19"/>
      <c r="W8" s="32" t="s">
        <v>1511</v>
      </c>
      <c r="X8" s="29" t="s">
        <v>1512</v>
      </c>
      <c r="Y8" s="29" t="s">
        <v>1513</v>
      </c>
      <c r="Z8" s="29" t="s">
        <v>1514</v>
      </c>
      <c r="AI8" s="31" t="s">
        <v>1090</v>
      </c>
      <c r="AJ8" s="29" t="s">
        <v>1515</v>
      </c>
      <c r="AK8" s="29" t="s">
        <v>1091</v>
      </c>
      <c r="AL8" s="29" t="s">
        <v>1104</v>
      </c>
      <c r="AM8" s="29" t="s">
        <v>1103</v>
      </c>
    </row>
    <row r="9" spans="1:39" ht="150" hidden="1" customHeight="1">
      <c r="A9" s="3" t="s">
        <v>483</v>
      </c>
      <c r="B9" s="3" t="s">
        <v>62</v>
      </c>
      <c r="C9" s="4" t="s">
        <v>63</v>
      </c>
      <c r="D9" s="4" t="s">
        <v>76</v>
      </c>
      <c r="E9" s="4" t="s">
        <v>77</v>
      </c>
      <c r="F9" s="4" t="s">
        <v>78</v>
      </c>
      <c r="G9" s="4" t="s">
        <v>79</v>
      </c>
      <c r="H9" s="4" t="s">
        <v>68</v>
      </c>
      <c r="I9" s="4" t="s">
        <v>69</v>
      </c>
      <c r="J9" s="5">
        <v>2</v>
      </c>
      <c r="K9" s="4" t="s">
        <v>80</v>
      </c>
      <c r="L9" s="4" t="s">
        <v>81</v>
      </c>
      <c r="M9" s="6" t="str">
        <f>HYPERLINK("file:///C:/Users/paola/Tesis/04_Bibliography/01_Fenología%20y%20umbrales/03_MULTI_CALOR_MULTI_From_the_floret_to_the_canopy_High_temperature_toleranc.pdf","Abrir PDF local")</f>
        <v>Abrir PDF local</v>
      </c>
      <c r="N9" s="6" t="str">
        <f>HYPERLINK("https://doi.org/10.1016/j.xplc.2023.100629","Abrir fuente en línea")</f>
        <v>Abrir fuente en línea</v>
      </c>
      <c r="O9" s="3" t="s">
        <v>82</v>
      </c>
      <c r="P9" s="4" t="s">
        <v>31</v>
      </c>
      <c r="Q9" s="7" t="s">
        <v>83</v>
      </c>
      <c r="R9" s="4" t="s">
        <v>74</v>
      </c>
      <c r="S9" s="41" t="s">
        <v>471</v>
      </c>
      <c r="T9" s="19" t="s">
        <v>1516</v>
      </c>
      <c r="U9" s="19" t="s">
        <v>666</v>
      </c>
      <c r="V9" s="19"/>
      <c r="W9" s="32" t="s">
        <v>1517</v>
      </c>
      <c r="X9" s="29" t="s">
        <v>1512</v>
      </c>
      <c r="Y9" s="29" t="s">
        <v>1518</v>
      </c>
      <c r="Z9" s="29" t="s">
        <v>1519</v>
      </c>
      <c r="AI9" s="31" t="s">
        <v>1090</v>
      </c>
      <c r="AJ9" s="29" t="s">
        <v>1520</v>
      </c>
      <c r="AK9" s="29" t="s">
        <v>1091</v>
      </c>
      <c r="AL9" s="29" t="s">
        <v>1104</v>
      </c>
      <c r="AM9" s="29" t="s">
        <v>1105</v>
      </c>
    </row>
    <row r="10" spans="1:39" ht="94" hidden="1" customHeight="1">
      <c r="A10" s="3" t="s">
        <v>483</v>
      </c>
      <c r="B10" s="3" t="s">
        <v>84</v>
      </c>
      <c r="C10" s="4" t="s">
        <v>85</v>
      </c>
      <c r="D10" s="4" t="s">
        <v>86</v>
      </c>
      <c r="E10" s="4" t="s">
        <v>87</v>
      </c>
      <c r="F10" s="4" t="s">
        <v>53</v>
      </c>
      <c r="G10" s="4" t="s">
        <v>88</v>
      </c>
      <c r="H10" s="4" t="s">
        <v>89</v>
      </c>
      <c r="I10" s="4" t="s">
        <v>90</v>
      </c>
      <c r="J10" s="5">
        <v>3</v>
      </c>
      <c r="K10" s="4" t="s">
        <v>91</v>
      </c>
      <c r="L10" s="4" t="s">
        <v>92</v>
      </c>
      <c r="M10" s="6" t="str">
        <f>HYPERLINK("file:///C:/Users/paola/Tesis/04_Bibliography/01_FenologÃ­a%20y%20umbrales/Otros%20de%20fenologÃ­a/59_PMC11782181.pdf","Abrir PDF local")</f>
        <v>Abrir PDF local</v>
      </c>
      <c r="N10" s="6" t="str">
        <f>HYPERLINK("https://europepmc.org/articles/PMC11782181","Abrir fuente en línea")</f>
        <v>Abrir fuente en línea</v>
      </c>
      <c r="O10" s="3" t="s">
        <v>93</v>
      </c>
      <c r="P10" s="4" t="s">
        <v>31</v>
      </c>
      <c r="Q10" s="8" t="s">
        <v>94</v>
      </c>
      <c r="R10" s="4" t="s">
        <v>95</v>
      </c>
      <c r="S10" s="41" t="s">
        <v>476</v>
      </c>
      <c r="T10" s="19" t="s">
        <v>1510</v>
      </c>
      <c r="U10" s="19" t="s">
        <v>667</v>
      </c>
      <c r="V10" s="19" t="s">
        <v>668</v>
      </c>
      <c r="W10" s="32" t="s">
        <v>1511</v>
      </c>
      <c r="X10" s="29" t="s">
        <v>1512</v>
      </c>
      <c r="Y10" s="29" t="s">
        <v>1513</v>
      </c>
      <c r="Z10" s="29" t="s">
        <v>1514</v>
      </c>
      <c r="AI10" s="31" t="s">
        <v>1101</v>
      </c>
      <c r="AJ10" s="29" t="s">
        <v>95</v>
      </c>
      <c r="AK10" s="29" t="s">
        <v>1102</v>
      </c>
      <c r="AL10" s="29" t="s">
        <v>1106</v>
      </c>
      <c r="AM10" s="29" t="s">
        <v>1093</v>
      </c>
    </row>
    <row r="11" spans="1:39" ht="94" hidden="1" customHeight="1">
      <c r="A11" s="3" t="s">
        <v>483</v>
      </c>
      <c r="B11" s="3" t="s">
        <v>97</v>
      </c>
      <c r="C11" s="4" t="s">
        <v>98</v>
      </c>
      <c r="D11" s="4" t="s">
        <v>86</v>
      </c>
      <c r="E11" s="4" t="s">
        <v>87</v>
      </c>
      <c r="F11" s="4" t="s">
        <v>53</v>
      </c>
      <c r="G11" s="4" t="s">
        <v>88</v>
      </c>
      <c r="H11" s="4" t="s">
        <v>89</v>
      </c>
      <c r="I11" s="4" t="s">
        <v>90</v>
      </c>
      <c r="J11" s="5">
        <v>3</v>
      </c>
      <c r="K11" s="4" t="s">
        <v>91</v>
      </c>
      <c r="L11" s="4" t="s">
        <v>92</v>
      </c>
      <c r="M11" s="6" t="str">
        <f>HYPERLINK("file:///C:/Users/paola/Tesis/04_Bibliography/01_FenologÃ­a%20y%20umbrales/Otros%20de%20fenologÃ­a/59_PMC11782181.pdf","Abrir PDF local")</f>
        <v>Abrir PDF local</v>
      </c>
      <c r="N11" s="6" t="str">
        <f>HYPERLINK("https://europepmc.org/articles/PMC11782181","Abrir fuente en línea")</f>
        <v>Abrir fuente en línea</v>
      </c>
      <c r="O11" s="3" t="s">
        <v>93</v>
      </c>
      <c r="P11" s="4" t="s">
        <v>31</v>
      </c>
      <c r="Q11" s="8" t="s">
        <v>99</v>
      </c>
      <c r="R11" s="4" t="s">
        <v>95</v>
      </c>
      <c r="S11" s="41" t="s">
        <v>476</v>
      </c>
      <c r="T11" s="19" t="s">
        <v>1510</v>
      </c>
      <c r="U11" s="19" t="s">
        <v>667</v>
      </c>
      <c r="V11" s="19" t="s">
        <v>668</v>
      </c>
      <c r="W11" s="32" t="s">
        <v>1511</v>
      </c>
      <c r="X11" s="29" t="s">
        <v>1512</v>
      </c>
      <c r="Y11" s="29" t="s">
        <v>1513</v>
      </c>
      <c r="Z11" s="29" t="s">
        <v>1514</v>
      </c>
      <c r="AI11" s="31" t="s">
        <v>1101</v>
      </c>
      <c r="AJ11" s="29" t="s">
        <v>95</v>
      </c>
      <c r="AK11" s="29" t="s">
        <v>1102</v>
      </c>
      <c r="AL11" s="29" t="s">
        <v>1106</v>
      </c>
      <c r="AM11" s="29" t="s">
        <v>1093</v>
      </c>
    </row>
    <row r="12" spans="1:39" ht="220" hidden="1" customHeight="1">
      <c r="A12" s="3" t="s">
        <v>483</v>
      </c>
      <c r="B12" s="3" t="s">
        <v>100</v>
      </c>
      <c r="C12" s="4" t="s">
        <v>101</v>
      </c>
      <c r="D12" s="4" t="s">
        <v>102</v>
      </c>
      <c r="E12" s="4" t="s">
        <v>103</v>
      </c>
      <c r="F12" s="4" t="s">
        <v>53</v>
      </c>
      <c r="G12" s="4" t="s">
        <v>104</v>
      </c>
      <c r="H12" s="4" t="s">
        <v>105</v>
      </c>
      <c r="I12" s="4" t="s">
        <v>106</v>
      </c>
      <c r="J12" s="5">
        <v>5</v>
      </c>
      <c r="K12" s="4" t="s">
        <v>107</v>
      </c>
      <c r="L12" s="4" t="s">
        <v>108</v>
      </c>
      <c r="M12" s="6" t="str">
        <f>HYPERLINK("file:///C:/Users/paola/Documents/Codex/2026-07-19/nece/outputs/papers_evidencia/MZ_F3_Zhang_2023_heat_grain_filling.pdf","Abrir PDF local")</f>
        <v>Abrir PDF local</v>
      </c>
      <c r="N12" s="6" t="str">
        <f>HYPERLINK("https://doi.org/10.3390/agronomy13082126","Abrir fuente en línea")</f>
        <v>Abrir fuente en línea</v>
      </c>
      <c r="O12" s="3" t="s">
        <v>109</v>
      </c>
      <c r="P12" s="4" t="s">
        <v>31</v>
      </c>
      <c r="Q12" s="7" t="s">
        <v>110</v>
      </c>
      <c r="R12" s="4" t="s">
        <v>111</v>
      </c>
      <c r="S12" s="4" t="s">
        <v>476</v>
      </c>
      <c r="T12" s="19" t="s">
        <v>1521</v>
      </c>
      <c r="U12" s="19" t="s">
        <v>670</v>
      </c>
      <c r="V12" s="19" t="s">
        <v>668</v>
      </c>
      <c r="W12" s="32" t="s">
        <v>1522</v>
      </c>
      <c r="X12" s="29" t="s">
        <v>1523</v>
      </c>
      <c r="Y12" s="29" t="s">
        <v>1524</v>
      </c>
      <c r="Z12" s="29" t="s">
        <v>1525</v>
      </c>
      <c r="AI12" s="31" t="s">
        <v>1101</v>
      </c>
      <c r="AJ12" s="29" t="s">
        <v>111</v>
      </c>
      <c r="AK12" s="29" t="s">
        <v>1102</v>
      </c>
      <c r="AL12" s="29" t="s">
        <v>1106</v>
      </c>
      <c r="AM12" s="29" t="s">
        <v>1093</v>
      </c>
    </row>
    <row r="13" spans="1:39" ht="150" hidden="1" customHeight="1">
      <c r="A13" s="3" t="s">
        <v>483</v>
      </c>
      <c r="B13" s="3" t="s">
        <v>100</v>
      </c>
      <c r="C13" s="4" t="s">
        <v>101</v>
      </c>
      <c r="D13" s="4" t="s">
        <v>112</v>
      </c>
      <c r="E13" s="4" t="s">
        <v>113</v>
      </c>
      <c r="F13" s="4" t="s">
        <v>114</v>
      </c>
      <c r="G13" s="4" t="s">
        <v>115</v>
      </c>
      <c r="H13" s="4" t="s">
        <v>116</v>
      </c>
      <c r="I13" s="4" t="s">
        <v>117</v>
      </c>
      <c r="J13" s="5">
        <v>1</v>
      </c>
      <c r="K13" s="4" t="s">
        <v>118</v>
      </c>
      <c r="L13" s="4" t="s">
        <v>119</v>
      </c>
      <c r="M13" s="6" t="str">
        <f>HYPERLINK("file:///C:/Users/paola/Tesis/04_Bibliography/01_Fenología%20y%20umbrales/Otros%20de%20fenología/37_MAIZ_CALOR_NOCTURNO_LLENADO_Wang_2026.pdf","Abrir PDF local")</f>
        <v>Abrir PDF local</v>
      </c>
      <c r="N13" s="6" t="str">
        <f>HYPERLINK("https://doi.org/10.3389/fpls.2026.1826388","Abrir fuente en línea")</f>
        <v>Abrir fuente en línea</v>
      </c>
      <c r="O13" s="3" t="s">
        <v>120</v>
      </c>
      <c r="P13" s="4" t="s">
        <v>31</v>
      </c>
      <c r="Q13" s="7" t="s">
        <v>121</v>
      </c>
      <c r="R13" s="4" t="s">
        <v>122</v>
      </c>
      <c r="S13" s="41" t="s">
        <v>476</v>
      </c>
      <c r="T13" s="19" t="s">
        <v>1516</v>
      </c>
      <c r="U13" s="19" t="s">
        <v>671</v>
      </c>
      <c r="V13" s="19" t="s">
        <v>672</v>
      </c>
      <c r="W13" s="32" t="s">
        <v>1517</v>
      </c>
      <c r="X13" s="29" t="s">
        <v>1512</v>
      </c>
      <c r="Y13" s="29" t="s">
        <v>1518</v>
      </c>
      <c r="Z13" s="29" t="s">
        <v>1519</v>
      </c>
      <c r="AI13" s="31" t="s">
        <v>1101</v>
      </c>
      <c r="AJ13" s="29" t="s">
        <v>122</v>
      </c>
      <c r="AK13" s="29" t="s">
        <v>1102</v>
      </c>
      <c r="AL13" s="29" t="s">
        <v>1106</v>
      </c>
      <c r="AM13" s="29" t="s">
        <v>1093</v>
      </c>
    </row>
    <row r="14" spans="1:39" ht="80" hidden="1" customHeight="1">
      <c r="A14" s="3" t="s">
        <v>483</v>
      </c>
      <c r="B14" s="3" t="s">
        <v>123</v>
      </c>
      <c r="C14" s="4" t="s">
        <v>124</v>
      </c>
      <c r="D14" s="4" t="s">
        <v>125</v>
      </c>
      <c r="E14" s="4" t="s">
        <v>126</v>
      </c>
      <c r="F14" s="4" t="s">
        <v>127</v>
      </c>
      <c r="G14" s="4" t="s">
        <v>128</v>
      </c>
      <c r="H14" s="4" t="s">
        <v>129</v>
      </c>
      <c r="I14" s="4" t="s">
        <v>130</v>
      </c>
      <c r="J14" s="5">
        <v>7</v>
      </c>
      <c r="K14" s="4" t="s">
        <v>131</v>
      </c>
      <c r="L14" s="4" t="s">
        <v>132</v>
      </c>
      <c r="M14" s="6" t="str">
        <f>HYPERLINK("file:///C:/Users/paola/Tesis/04_Bibliography/01_FenologÃ­a%20y%20umbrales/Otros%20de%20fenologÃ­a/61_PMC7641793.pdf","Abrir PDF local")</f>
        <v>Abrir PDF local</v>
      </c>
      <c r="N14" s="6" t="str">
        <f>HYPERLINK("https://europepmc.org/articles/PMC7641793","Abrir fuente en línea")</f>
        <v>Abrir fuente en línea</v>
      </c>
      <c r="O14" s="3" t="s">
        <v>133</v>
      </c>
      <c r="P14" s="4" t="s">
        <v>31</v>
      </c>
      <c r="Q14" s="7" t="s">
        <v>134</v>
      </c>
      <c r="R14" s="4" t="s">
        <v>135</v>
      </c>
      <c r="S14" s="41" t="s">
        <v>479</v>
      </c>
      <c r="T14" s="19" t="s">
        <v>1526</v>
      </c>
      <c r="U14" s="19" t="s">
        <v>673</v>
      </c>
      <c r="V14" s="19"/>
      <c r="W14" s="32" t="s">
        <v>1527</v>
      </c>
      <c r="X14" s="29" t="s">
        <v>1528</v>
      </c>
      <c r="Y14" s="29" t="s">
        <v>1529</v>
      </c>
      <c r="Z14" s="29" t="s">
        <v>1530</v>
      </c>
      <c r="AI14" s="33" t="s">
        <v>1107</v>
      </c>
      <c r="AJ14" s="29" t="s">
        <v>135</v>
      </c>
      <c r="AK14" s="29" t="s">
        <v>1108</v>
      </c>
      <c r="AL14" s="29" t="s">
        <v>1109</v>
      </c>
      <c r="AM14" s="29" t="s">
        <v>1110</v>
      </c>
    </row>
    <row r="15" spans="1:39" ht="108" customHeight="1">
      <c r="A15" s="3" t="s">
        <v>484</v>
      </c>
      <c r="B15" s="3" t="s">
        <v>137</v>
      </c>
      <c r="C15" s="4" t="s">
        <v>21</v>
      </c>
      <c r="D15" s="4" t="s">
        <v>138</v>
      </c>
      <c r="E15" s="4" t="s">
        <v>139</v>
      </c>
      <c r="F15" s="4" t="s">
        <v>53</v>
      </c>
      <c r="G15" s="4" t="s">
        <v>140</v>
      </c>
      <c r="H15" s="4" t="s">
        <v>141</v>
      </c>
      <c r="I15" s="4" t="s">
        <v>142</v>
      </c>
      <c r="J15" s="5">
        <v>3</v>
      </c>
      <c r="K15" s="4" t="s">
        <v>143</v>
      </c>
      <c r="L15" s="4" t="s">
        <v>144</v>
      </c>
      <c r="M15" s="6" t="str">
        <f>HYPERLINK("file:///C:/Users/paola/Tesis/04_Bibliography/01_FenologÃ­a%20y%20umbrales/Otros%20de%20fenologÃ­a/46_PMC9496009.pdf","Abrir PDF local")</f>
        <v>Abrir PDF local</v>
      </c>
      <c r="N15" s="6" t="str">
        <f>HYPERLINK("https://europepmc.org/articles/PMC9496009","Abrir fuente en línea")</f>
        <v>Abrir fuente en línea</v>
      </c>
      <c r="O15" s="3" t="s">
        <v>145</v>
      </c>
      <c r="P15" s="4" t="s">
        <v>31</v>
      </c>
      <c r="Q15" s="7" t="s">
        <v>146</v>
      </c>
      <c r="R15" s="14" t="s">
        <v>147</v>
      </c>
      <c r="S15" s="41" t="s">
        <v>465</v>
      </c>
      <c r="T15" s="19" t="s">
        <v>1531</v>
      </c>
      <c r="U15" s="19" t="s">
        <v>675</v>
      </c>
      <c r="V15" s="19" t="s">
        <v>676</v>
      </c>
      <c r="W15" s="32" t="s">
        <v>1532</v>
      </c>
      <c r="X15" s="29" t="s">
        <v>1533</v>
      </c>
      <c r="Y15" s="29" t="s">
        <v>1534</v>
      </c>
      <c r="Z15" s="29" t="s">
        <v>1535</v>
      </c>
      <c r="AI15" s="31" t="s">
        <v>1101</v>
      </c>
      <c r="AJ15" s="29" t="s">
        <v>147</v>
      </c>
      <c r="AK15" s="29" t="s">
        <v>1102</v>
      </c>
      <c r="AL15" s="29" t="s">
        <v>1111</v>
      </c>
      <c r="AM15" s="29" t="s">
        <v>1093</v>
      </c>
    </row>
    <row r="16" spans="1:39" ht="122" customHeight="1">
      <c r="A16" s="3" t="s">
        <v>484</v>
      </c>
      <c r="B16" s="35" t="s">
        <v>148</v>
      </c>
      <c r="C16" s="36" t="s">
        <v>149</v>
      </c>
      <c r="D16" s="4" t="s">
        <v>150</v>
      </c>
      <c r="E16" s="4" t="s">
        <v>151</v>
      </c>
      <c r="F16" s="4" t="s">
        <v>152</v>
      </c>
      <c r="G16" s="4" t="s">
        <v>153</v>
      </c>
      <c r="H16" s="4" t="s">
        <v>154</v>
      </c>
      <c r="I16" s="4" t="s">
        <v>155</v>
      </c>
      <c r="J16" s="5">
        <v>4</v>
      </c>
      <c r="K16" s="4" t="s">
        <v>156</v>
      </c>
      <c r="L16" s="4" t="s">
        <v>157</v>
      </c>
      <c r="M16" s="6" t="str">
        <f>HYPERLINK("file:///C:/Users/paola/Tesis/04_Bibliography/01_Fenología%20y%20umbrales/Otros%20de%20fenología/30_ARROZ_INUNDACION_SUB1_BaileySerres_2010.pdf","Abrir PDF local")</f>
        <v>Abrir PDF local</v>
      </c>
      <c r="N16" s="6" t="str">
        <f>HYPERLINK("https://doi.org/10.1007/s00425-010-1198-z","Abrir fuente en línea")</f>
        <v>Abrir fuente en línea</v>
      </c>
      <c r="O16" s="3" t="s">
        <v>158</v>
      </c>
      <c r="P16" s="4" t="s">
        <v>31</v>
      </c>
      <c r="Q16" s="7" t="s">
        <v>159</v>
      </c>
      <c r="R16" s="14" t="s">
        <v>160</v>
      </c>
      <c r="S16" s="41" t="s">
        <v>468</v>
      </c>
      <c r="T16" s="19" t="s">
        <v>677</v>
      </c>
      <c r="U16" s="19" t="s">
        <v>678</v>
      </c>
      <c r="V16" s="19" t="s">
        <v>679</v>
      </c>
      <c r="W16" s="33" t="s">
        <v>1112</v>
      </c>
      <c r="X16" s="29" t="s">
        <v>1113</v>
      </c>
      <c r="Y16" s="29" t="s">
        <v>1114</v>
      </c>
      <c r="Z16" s="29" t="s">
        <v>1115</v>
      </c>
      <c r="AI16" s="33" t="s">
        <v>1116</v>
      </c>
      <c r="AJ16" s="29" t="s">
        <v>160</v>
      </c>
      <c r="AK16" s="29" t="s">
        <v>1117</v>
      </c>
      <c r="AL16" s="29" t="s">
        <v>1118</v>
      </c>
      <c r="AM16" s="29" t="s">
        <v>1093</v>
      </c>
    </row>
    <row r="17" spans="1:39" ht="122" customHeight="1">
      <c r="A17" s="3" t="s">
        <v>484</v>
      </c>
      <c r="B17" s="35" t="s">
        <v>161</v>
      </c>
      <c r="C17" s="36" t="s">
        <v>162</v>
      </c>
      <c r="D17" s="4" t="s">
        <v>150</v>
      </c>
      <c r="E17" s="4" t="s">
        <v>151</v>
      </c>
      <c r="F17" s="4" t="s">
        <v>152</v>
      </c>
      <c r="G17" s="4" t="s">
        <v>153</v>
      </c>
      <c r="H17" s="4" t="s">
        <v>154</v>
      </c>
      <c r="I17" s="4" t="s">
        <v>155</v>
      </c>
      <c r="J17" s="5">
        <v>4</v>
      </c>
      <c r="K17" s="4" t="s">
        <v>156</v>
      </c>
      <c r="L17" s="4" t="s">
        <v>157</v>
      </c>
      <c r="M17" s="6" t="str">
        <f>HYPERLINK("file:///C:/Users/paola/Tesis/04_Bibliography/01_Fenología%20y%20umbrales/Otros%20de%20fenología/30_ARROZ_INUNDACION_SUB1_BaileySerres_2010.pdf","Abrir PDF local")</f>
        <v>Abrir PDF local</v>
      </c>
      <c r="N17" s="6" t="str">
        <f>HYPERLINK("https://doi.org/10.1007/s00425-010-1198-z","Abrir fuente en línea")</f>
        <v>Abrir fuente en línea</v>
      </c>
      <c r="O17" s="3" t="s">
        <v>158</v>
      </c>
      <c r="P17" s="4" t="s">
        <v>31</v>
      </c>
      <c r="Q17" s="7" t="s">
        <v>163</v>
      </c>
      <c r="R17" s="14" t="s">
        <v>164</v>
      </c>
      <c r="S17" s="41" t="s">
        <v>468</v>
      </c>
      <c r="T17" s="19" t="s">
        <v>677</v>
      </c>
      <c r="U17" s="19" t="s">
        <v>678</v>
      </c>
      <c r="V17" s="19" t="s">
        <v>679</v>
      </c>
      <c r="W17" s="33" t="s">
        <v>1112</v>
      </c>
      <c r="X17" s="29" t="s">
        <v>1113</v>
      </c>
      <c r="Y17" s="29" t="s">
        <v>1114</v>
      </c>
      <c r="Z17" s="29" t="s">
        <v>1115</v>
      </c>
      <c r="AI17" s="33" t="s">
        <v>1116</v>
      </c>
      <c r="AJ17" s="29" t="s">
        <v>164</v>
      </c>
      <c r="AK17" s="29" t="s">
        <v>1117</v>
      </c>
      <c r="AL17" s="29" t="s">
        <v>1118</v>
      </c>
      <c r="AM17" s="29" t="s">
        <v>1093</v>
      </c>
    </row>
    <row r="18" spans="1:39" ht="150" customHeight="1">
      <c r="A18" s="3" t="s">
        <v>484</v>
      </c>
      <c r="B18" s="3" t="s">
        <v>165</v>
      </c>
      <c r="C18" s="4" t="s">
        <v>166</v>
      </c>
      <c r="D18" s="4" t="s">
        <v>102</v>
      </c>
      <c r="E18" s="4" t="s">
        <v>167</v>
      </c>
      <c r="F18" s="4" t="s">
        <v>168</v>
      </c>
      <c r="G18" s="4" t="s">
        <v>169</v>
      </c>
      <c r="H18" s="4" t="s">
        <v>170</v>
      </c>
      <c r="I18" s="4" t="s">
        <v>171</v>
      </c>
      <c r="J18" s="5">
        <v>4</v>
      </c>
      <c r="K18" s="4" t="s">
        <v>172</v>
      </c>
      <c r="L18" s="4" t="s">
        <v>173</v>
      </c>
      <c r="M18" s="6" t="str">
        <f>HYPERLINK("file:///C:/Users/paola/Tesis/04_Bibliography/01_Fenología%20y%20umbrales/08_ARROZ_MULTI_MULTI_esd_16_1971_2025.pdf","Abrir PDF local")</f>
        <v>Abrir PDF local</v>
      </c>
      <c r="N18" s="6" t="str">
        <f>HYPERLINK("https://doi.org/10.5194/esd-16-1971-2025","Abrir fuente en línea")</f>
        <v>Abrir fuente en línea</v>
      </c>
      <c r="O18" s="3" t="s">
        <v>174</v>
      </c>
      <c r="P18" s="4" t="s">
        <v>31</v>
      </c>
      <c r="Q18" s="7" t="s">
        <v>175</v>
      </c>
      <c r="R18" s="14" t="s">
        <v>176</v>
      </c>
      <c r="S18" s="4" t="s">
        <v>473</v>
      </c>
      <c r="T18" s="19" t="s">
        <v>1536</v>
      </c>
      <c r="U18" s="19" t="s">
        <v>680</v>
      </c>
      <c r="V18" s="19" t="s">
        <v>681</v>
      </c>
      <c r="W18" s="32" t="s">
        <v>1537</v>
      </c>
      <c r="X18" s="29" t="s">
        <v>1538</v>
      </c>
      <c r="Y18" s="29" t="s">
        <v>1539</v>
      </c>
      <c r="Z18" s="29" t="s">
        <v>1540</v>
      </c>
      <c r="AI18" s="32" t="s">
        <v>1119</v>
      </c>
      <c r="AJ18" s="29" t="s">
        <v>1541</v>
      </c>
      <c r="AK18" s="29" t="s">
        <v>1120</v>
      </c>
      <c r="AL18" s="29" t="s">
        <v>1121</v>
      </c>
      <c r="AM18" s="29" t="s">
        <v>1122</v>
      </c>
    </row>
    <row r="19" spans="1:39" ht="122" customHeight="1">
      <c r="A19" s="3" t="s">
        <v>484</v>
      </c>
      <c r="B19" s="35" t="s">
        <v>165</v>
      </c>
      <c r="C19" s="36" t="s">
        <v>166</v>
      </c>
      <c r="D19" s="4" t="s">
        <v>150</v>
      </c>
      <c r="E19" s="4" t="s">
        <v>151</v>
      </c>
      <c r="F19" s="4" t="s">
        <v>152</v>
      </c>
      <c r="G19" s="4" t="s">
        <v>153</v>
      </c>
      <c r="H19" s="4" t="s">
        <v>154</v>
      </c>
      <c r="I19" s="4" t="s">
        <v>155</v>
      </c>
      <c r="J19" s="5">
        <v>4</v>
      </c>
      <c r="K19" s="4" t="s">
        <v>156</v>
      </c>
      <c r="L19" s="4" t="s">
        <v>157</v>
      </c>
      <c r="M19" s="6" t="str">
        <f>HYPERLINK("file:///C:/Users/paola/Tesis/04_Bibliography/01_Fenología%20y%20umbrales/Otros%20de%20fenología/30_ARROZ_INUNDACION_SUB1_BaileySerres_2010.pdf","Abrir PDF local")</f>
        <v>Abrir PDF local</v>
      </c>
      <c r="N19" s="6" t="str">
        <f>HYPERLINK("https://doi.org/10.1007/s00425-010-1198-z","Abrir fuente en línea")</f>
        <v>Abrir fuente en línea</v>
      </c>
      <c r="O19" s="3" t="s">
        <v>158</v>
      </c>
      <c r="P19" s="4" t="s">
        <v>31</v>
      </c>
      <c r="Q19" s="7" t="s">
        <v>177</v>
      </c>
      <c r="R19" s="14" t="s">
        <v>164</v>
      </c>
      <c r="S19" s="41" t="s">
        <v>468</v>
      </c>
      <c r="T19" s="19" t="s">
        <v>677</v>
      </c>
      <c r="U19" s="19" t="s">
        <v>678</v>
      </c>
      <c r="V19" s="19" t="s">
        <v>679</v>
      </c>
      <c r="W19" s="33" t="s">
        <v>1112</v>
      </c>
      <c r="X19" s="29" t="s">
        <v>1113</v>
      </c>
      <c r="Y19" s="29" t="s">
        <v>1114</v>
      </c>
      <c r="Z19" s="29" t="s">
        <v>1115</v>
      </c>
      <c r="AI19" s="33" t="s">
        <v>1116</v>
      </c>
      <c r="AJ19" s="29" t="s">
        <v>1542</v>
      </c>
      <c r="AK19" s="29" t="s">
        <v>1117</v>
      </c>
      <c r="AL19" s="29" t="s">
        <v>1121</v>
      </c>
      <c r="AM19" s="29" t="s">
        <v>1123</v>
      </c>
    </row>
    <row r="20" spans="1:39" ht="164" customHeight="1">
      <c r="A20" s="3" t="s">
        <v>484</v>
      </c>
      <c r="B20" s="35" t="s">
        <v>178</v>
      </c>
      <c r="C20" s="36" t="s">
        <v>179</v>
      </c>
      <c r="D20" s="4" t="s">
        <v>37</v>
      </c>
      <c r="E20" s="4" t="s">
        <v>180</v>
      </c>
      <c r="F20" s="4" t="s">
        <v>168</v>
      </c>
      <c r="G20" s="4" t="s">
        <v>181</v>
      </c>
      <c r="H20" s="4" t="s">
        <v>170</v>
      </c>
      <c r="I20" s="4" t="s">
        <v>171</v>
      </c>
      <c r="J20" s="5">
        <v>5</v>
      </c>
      <c r="K20" s="4" t="s">
        <v>182</v>
      </c>
      <c r="L20" s="4" t="s">
        <v>183</v>
      </c>
      <c r="M20" s="6" t="str">
        <f>HYPERLINK("file:///C:/Users/paola/Tesis/04_Bibliography/01_Fenología%20y%20umbrales/08_ARROZ_MULTI_MULTI_esd_16_1971_2025.pdf","Abrir PDF local")</f>
        <v>Abrir PDF local</v>
      </c>
      <c r="N20" s="6" t="str">
        <f>HYPERLINK("https://doi.org/10.5194/esd-16-1971-2025","Abrir fuente en línea")</f>
        <v>Abrir fuente en línea</v>
      </c>
      <c r="O20" s="3" t="s">
        <v>184</v>
      </c>
      <c r="P20" s="4" t="s">
        <v>31</v>
      </c>
      <c r="Q20" s="7" t="s">
        <v>185</v>
      </c>
      <c r="R20" s="14" t="s">
        <v>186</v>
      </c>
      <c r="S20" s="41" t="s">
        <v>473</v>
      </c>
      <c r="T20" s="19" t="s">
        <v>682</v>
      </c>
      <c r="U20" s="19" t="s">
        <v>683</v>
      </c>
      <c r="V20" s="19" t="s">
        <v>684</v>
      </c>
      <c r="W20" s="31" t="s">
        <v>1094</v>
      </c>
      <c r="X20" s="29" t="s">
        <v>1095</v>
      </c>
      <c r="Y20" s="29" t="s">
        <v>1096</v>
      </c>
      <c r="Z20" s="29" t="s">
        <v>1097</v>
      </c>
      <c r="AI20" s="31" t="s">
        <v>1098</v>
      </c>
      <c r="AJ20" s="29" t="s">
        <v>186</v>
      </c>
      <c r="AK20" s="29" t="s">
        <v>1099</v>
      </c>
      <c r="AL20" s="29" t="s">
        <v>1124</v>
      </c>
      <c r="AM20" s="29" t="s">
        <v>1093</v>
      </c>
    </row>
    <row r="21" spans="1:39" ht="150" customHeight="1">
      <c r="A21" s="3" t="s">
        <v>484</v>
      </c>
      <c r="B21" s="3" t="s">
        <v>178</v>
      </c>
      <c r="C21" s="4" t="s">
        <v>179</v>
      </c>
      <c r="D21" s="4" t="s">
        <v>188</v>
      </c>
      <c r="E21" s="4" t="s">
        <v>189</v>
      </c>
      <c r="F21" s="4" t="s">
        <v>168</v>
      </c>
      <c r="G21" s="4" t="s">
        <v>190</v>
      </c>
      <c r="H21" s="4" t="s">
        <v>170</v>
      </c>
      <c r="I21" s="4" t="s">
        <v>171</v>
      </c>
      <c r="J21" s="5">
        <v>3</v>
      </c>
      <c r="K21" s="4" t="s">
        <v>191</v>
      </c>
      <c r="L21" s="4" t="s">
        <v>192</v>
      </c>
      <c r="M21" s="6" t="str">
        <f>HYPERLINK("file:///C:/Users/paola/Tesis/04_Bibliography/01_Fenología%20y%20umbrales/08_ARROZ_MULTI_MULTI_esd_16_1971_2025.pdf","Abrir PDF local")</f>
        <v>Abrir PDF local</v>
      </c>
      <c r="N21" s="6" t="str">
        <f>HYPERLINK("https://doi.org/10.5194/esd-16-1971-2025","Abrir fuente en línea")</f>
        <v>Abrir fuente en línea</v>
      </c>
      <c r="O21" s="3" t="s">
        <v>193</v>
      </c>
      <c r="P21" s="4" t="s">
        <v>31</v>
      </c>
      <c r="Q21" s="7" t="s">
        <v>194</v>
      </c>
      <c r="R21" s="14" t="s">
        <v>195</v>
      </c>
      <c r="S21" s="4" t="s">
        <v>473</v>
      </c>
      <c r="T21" s="19" t="s">
        <v>1536</v>
      </c>
      <c r="U21" s="19" t="s">
        <v>685</v>
      </c>
      <c r="V21" s="19" t="s">
        <v>681</v>
      </c>
      <c r="W21" s="32" t="s">
        <v>1537</v>
      </c>
      <c r="X21" s="29" t="s">
        <v>1538</v>
      </c>
      <c r="Y21" s="29" t="s">
        <v>1539</v>
      </c>
      <c r="Z21" s="29" t="s">
        <v>1540</v>
      </c>
      <c r="AI21" s="32" t="s">
        <v>1119</v>
      </c>
      <c r="AJ21" s="29" t="s">
        <v>195</v>
      </c>
      <c r="AK21" s="29" t="s">
        <v>1125</v>
      </c>
      <c r="AL21" s="29" t="s">
        <v>1124</v>
      </c>
      <c r="AM21" s="29" t="s">
        <v>1122</v>
      </c>
    </row>
    <row r="22" spans="1:39" ht="136" customHeight="1">
      <c r="A22" s="3" t="s">
        <v>484</v>
      </c>
      <c r="B22" s="3" t="s">
        <v>178</v>
      </c>
      <c r="C22" s="4" t="s">
        <v>179</v>
      </c>
      <c r="D22" s="4" t="s">
        <v>196</v>
      </c>
      <c r="E22" s="4" t="s">
        <v>197</v>
      </c>
      <c r="F22" s="4" t="s">
        <v>168</v>
      </c>
      <c r="G22" s="4" t="s">
        <v>198</v>
      </c>
      <c r="H22" s="4" t="s">
        <v>170</v>
      </c>
      <c r="I22" s="4" t="s">
        <v>171</v>
      </c>
      <c r="J22" s="5">
        <v>2</v>
      </c>
      <c r="K22" s="4" t="s">
        <v>199</v>
      </c>
      <c r="L22" s="4" t="s">
        <v>200</v>
      </c>
      <c r="M22" s="6" t="str">
        <f>HYPERLINK("file:///C:/Users/paola/Tesis/04_Bibliography/01_Fenología%20y%20umbrales/08_ARROZ_MULTI_MULTI_esd_16_1971_2025.pdf","Abrir PDF local")</f>
        <v>Abrir PDF local</v>
      </c>
      <c r="N22" s="6" t="str">
        <f>HYPERLINK("https://doi.org/10.5194/esd-16-1971-2025","Abrir fuente en línea")</f>
        <v>Abrir fuente en línea</v>
      </c>
      <c r="O22" s="3" t="s">
        <v>201</v>
      </c>
      <c r="P22" s="4" t="s">
        <v>31</v>
      </c>
      <c r="Q22" s="7" t="s">
        <v>202</v>
      </c>
      <c r="R22" s="14" t="s">
        <v>195</v>
      </c>
      <c r="S22" s="4" t="s">
        <v>473</v>
      </c>
      <c r="T22" s="19" t="s">
        <v>1543</v>
      </c>
      <c r="U22" s="19" t="s">
        <v>686</v>
      </c>
      <c r="V22" s="19" t="s">
        <v>681</v>
      </c>
      <c r="W22" s="32" t="s">
        <v>1544</v>
      </c>
      <c r="X22" s="29" t="s">
        <v>1545</v>
      </c>
      <c r="Y22" s="29" t="s">
        <v>1546</v>
      </c>
      <c r="Z22" s="29" t="s">
        <v>1547</v>
      </c>
      <c r="AI22" s="32" t="s">
        <v>1119</v>
      </c>
      <c r="AJ22" s="29" t="s">
        <v>195</v>
      </c>
      <c r="AK22" s="29" t="s">
        <v>1126</v>
      </c>
      <c r="AL22" s="29" t="s">
        <v>1124</v>
      </c>
      <c r="AM22" s="29" t="s">
        <v>1122</v>
      </c>
    </row>
    <row r="23" spans="1:39" ht="136" customHeight="1">
      <c r="A23" s="3" t="s">
        <v>484</v>
      </c>
      <c r="B23" s="35" t="s">
        <v>178</v>
      </c>
      <c r="C23" s="36" t="s">
        <v>179</v>
      </c>
      <c r="D23" s="4" t="s">
        <v>150</v>
      </c>
      <c r="E23" s="4" t="s">
        <v>151</v>
      </c>
      <c r="F23" s="4" t="s">
        <v>152</v>
      </c>
      <c r="G23" s="4" t="s">
        <v>153</v>
      </c>
      <c r="H23" s="4" t="s">
        <v>154</v>
      </c>
      <c r="I23" s="4" t="s">
        <v>155</v>
      </c>
      <c r="J23" s="5">
        <v>4</v>
      </c>
      <c r="K23" s="4" t="s">
        <v>156</v>
      </c>
      <c r="L23" s="4" t="s">
        <v>157</v>
      </c>
      <c r="M23" s="6" t="str">
        <f>HYPERLINK("file:///C:/Users/paola/Tesis/04_Bibliography/01_Fenología%20y%20umbrales/Otros%20de%20fenología/30_ARROZ_INUNDACION_SUB1_BaileySerres_2010.pdf","Abrir PDF local")</f>
        <v>Abrir PDF local</v>
      </c>
      <c r="N23" s="6" t="str">
        <f>HYPERLINK("https://doi.org/10.1007/s00425-010-1198-z","Abrir fuente en línea")</f>
        <v>Abrir fuente en línea</v>
      </c>
      <c r="O23" s="3" t="s">
        <v>158</v>
      </c>
      <c r="P23" s="4" t="s">
        <v>31</v>
      </c>
      <c r="Q23" s="7" t="s">
        <v>203</v>
      </c>
      <c r="R23" s="14" t="s">
        <v>204</v>
      </c>
      <c r="S23" s="41" t="s">
        <v>473</v>
      </c>
      <c r="T23" s="19" t="s">
        <v>677</v>
      </c>
      <c r="U23" s="19" t="s">
        <v>678</v>
      </c>
      <c r="V23" s="19" t="s">
        <v>679</v>
      </c>
      <c r="W23" s="33" t="s">
        <v>1112</v>
      </c>
      <c r="X23" s="29" t="s">
        <v>1113</v>
      </c>
      <c r="Y23" s="29" t="s">
        <v>1114</v>
      </c>
      <c r="Z23" s="29" t="s">
        <v>1115</v>
      </c>
      <c r="AI23" s="33" t="s">
        <v>1116</v>
      </c>
      <c r="AJ23" s="29" t="s">
        <v>1127</v>
      </c>
      <c r="AK23" s="29" t="s">
        <v>1117</v>
      </c>
      <c r="AL23" s="29" t="s">
        <v>1124</v>
      </c>
      <c r="AM23" s="29" t="s">
        <v>1127</v>
      </c>
    </row>
    <row r="24" spans="1:39" ht="122" customHeight="1">
      <c r="A24" s="3" t="s">
        <v>484</v>
      </c>
      <c r="B24" s="3" t="s">
        <v>205</v>
      </c>
      <c r="C24" s="4" t="s">
        <v>206</v>
      </c>
      <c r="D24" s="4" t="s">
        <v>188</v>
      </c>
      <c r="E24" s="4" t="s">
        <v>189</v>
      </c>
      <c r="F24" s="4" t="s">
        <v>168</v>
      </c>
      <c r="G24" s="4" t="s">
        <v>190</v>
      </c>
      <c r="H24" s="4" t="s">
        <v>170</v>
      </c>
      <c r="I24" s="4" t="s">
        <v>171</v>
      </c>
      <c r="J24" s="5">
        <v>3</v>
      </c>
      <c r="K24" s="4" t="s">
        <v>191</v>
      </c>
      <c r="L24" s="4" t="s">
        <v>192</v>
      </c>
      <c r="M24" s="6" t="str">
        <f>HYPERLINK("file:///C:/Users/paola/Tesis/04_Bibliography/01_Fenología%20y%20umbrales/08_ARROZ_MULTI_MULTI_esd_16_1971_2025.pdf","Abrir PDF local")</f>
        <v>Abrir PDF local</v>
      </c>
      <c r="N24" s="6" t="str">
        <f>HYPERLINK("https://doi.org/10.5194/esd-16-1971-2025","Abrir fuente en línea")</f>
        <v>Abrir fuente en línea</v>
      </c>
      <c r="O24" s="3" t="s">
        <v>193</v>
      </c>
      <c r="P24" s="4" t="s">
        <v>31</v>
      </c>
      <c r="Q24" s="7" t="s">
        <v>207</v>
      </c>
      <c r="R24" s="14" t="s">
        <v>195</v>
      </c>
      <c r="S24" s="4" t="s">
        <v>471</v>
      </c>
      <c r="T24" s="19" t="s">
        <v>1536</v>
      </c>
      <c r="U24" s="19" t="s">
        <v>685</v>
      </c>
      <c r="V24" s="19" t="s">
        <v>681</v>
      </c>
      <c r="W24" s="32" t="s">
        <v>1537</v>
      </c>
      <c r="X24" s="29" t="s">
        <v>1538</v>
      </c>
      <c r="Y24" s="29" t="s">
        <v>1539</v>
      </c>
      <c r="Z24" s="29" t="s">
        <v>1540</v>
      </c>
      <c r="AI24" s="32" t="s">
        <v>1119</v>
      </c>
      <c r="AJ24" s="29" t="s">
        <v>195</v>
      </c>
      <c r="AK24" s="29" t="s">
        <v>1125</v>
      </c>
      <c r="AL24" s="29" t="s">
        <v>1128</v>
      </c>
      <c r="AM24" s="29" t="s">
        <v>1122</v>
      </c>
    </row>
    <row r="25" spans="1:39" ht="122" customHeight="1">
      <c r="A25" s="3" t="s">
        <v>484</v>
      </c>
      <c r="B25" s="3" t="s">
        <v>205</v>
      </c>
      <c r="C25" s="4" t="s">
        <v>206</v>
      </c>
      <c r="D25" s="4" t="s">
        <v>196</v>
      </c>
      <c r="E25" s="4" t="s">
        <v>197</v>
      </c>
      <c r="F25" s="4" t="s">
        <v>168</v>
      </c>
      <c r="G25" s="4" t="s">
        <v>198</v>
      </c>
      <c r="H25" s="4" t="s">
        <v>170</v>
      </c>
      <c r="I25" s="4" t="s">
        <v>171</v>
      </c>
      <c r="J25" s="5">
        <v>2</v>
      </c>
      <c r="K25" s="4" t="s">
        <v>199</v>
      </c>
      <c r="L25" s="4" t="s">
        <v>200</v>
      </c>
      <c r="M25" s="6" t="str">
        <f>HYPERLINK("file:///C:/Users/paola/Tesis/04_Bibliography/01_Fenología%20y%20umbrales/08_ARROZ_MULTI_MULTI_esd_16_1971_2025.pdf","Abrir PDF local")</f>
        <v>Abrir PDF local</v>
      </c>
      <c r="N25" s="6" t="str">
        <f>HYPERLINK("https://doi.org/10.5194/esd-16-1971-2025","Abrir fuente en línea")</f>
        <v>Abrir fuente en línea</v>
      </c>
      <c r="O25" s="3" t="s">
        <v>201</v>
      </c>
      <c r="P25" s="4" t="s">
        <v>31</v>
      </c>
      <c r="Q25" s="7" t="s">
        <v>209</v>
      </c>
      <c r="R25" s="14" t="s">
        <v>195</v>
      </c>
      <c r="S25" s="4" t="s">
        <v>471</v>
      </c>
      <c r="T25" s="19" t="s">
        <v>1543</v>
      </c>
      <c r="U25" s="19" t="s">
        <v>686</v>
      </c>
      <c r="V25" s="19" t="s">
        <v>681</v>
      </c>
      <c r="W25" s="32" t="s">
        <v>1544</v>
      </c>
      <c r="X25" s="29" t="s">
        <v>1545</v>
      </c>
      <c r="Y25" s="29" t="s">
        <v>1546</v>
      </c>
      <c r="Z25" s="29" t="s">
        <v>1547</v>
      </c>
      <c r="AI25" s="32" t="s">
        <v>1119</v>
      </c>
      <c r="AJ25" s="29" t="s">
        <v>195</v>
      </c>
      <c r="AK25" s="29" t="s">
        <v>1126</v>
      </c>
      <c r="AL25" s="29" t="s">
        <v>1128</v>
      </c>
      <c r="AM25" s="29" t="s">
        <v>1122</v>
      </c>
    </row>
    <row r="26" spans="1:39" ht="150" customHeight="1">
      <c r="A26" s="3" t="s">
        <v>484</v>
      </c>
      <c r="B26" s="3" t="s">
        <v>205</v>
      </c>
      <c r="C26" s="4" t="s">
        <v>206</v>
      </c>
      <c r="D26" s="4" t="s">
        <v>64</v>
      </c>
      <c r="E26" s="4" t="s">
        <v>210</v>
      </c>
      <c r="F26" s="4" t="s">
        <v>66</v>
      </c>
      <c r="G26" s="4" t="s">
        <v>67</v>
      </c>
      <c r="H26" s="4" t="s">
        <v>68</v>
      </c>
      <c r="I26" s="4" t="s">
        <v>69</v>
      </c>
      <c r="J26" s="5">
        <v>1</v>
      </c>
      <c r="K26" s="4" t="s">
        <v>70</v>
      </c>
      <c r="L26" s="4" t="s">
        <v>211</v>
      </c>
      <c r="M26" s="6" t="str">
        <f>HYPERLINK("file:///C:/Users/paola/Tesis/04_Bibliography/01_Fenología%20y%20umbrales/03_MULTI_CALOR_MULTI_From_the_floret_to_the_canopy_High_temperature_toleranc.pdf","Abrir PDF local")</f>
        <v>Abrir PDF local</v>
      </c>
      <c r="N26" s="6" t="str">
        <f>HYPERLINK("https://doi.org/10.1016/j.xplc.2023.100629","Abrir fuente en línea")</f>
        <v>Abrir fuente en línea</v>
      </c>
      <c r="O26" s="3" t="s">
        <v>212</v>
      </c>
      <c r="P26" s="4" t="s">
        <v>31</v>
      </c>
      <c r="Q26" s="7" t="s">
        <v>213</v>
      </c>
      <c r="R26" s="14" t="s">
        <v>214</v>
      </c>
      <c r="S26" s="41" t="s">
        <v>471</v>
      </c>
      <c r="T26" s="19" t="s">
        <v>1510</v>
      </c>
      <c r="U26" s="19" t="s">
        <v>687</v>
      </c>
      <c r="V26" s="19"/>
      <c r="W26" s="32" t="s">
        <v>1511</v>
      </c>
      <c r="X26" s="29" t="s">
        <v>1512</v>
      </c>
      <c r="Y26" s="29" t="s">
        <v>1513</v>
      </c>
      <c r="Z26" s="29" t="s">
        <v>1514</v>
      </c>
      <c r="AI26" s="31" t="s">
        <v>1090</v>
      </c>
      <c r="AJ26" s="29" t="s">
        <v>214</v>
      </c>
      <c r="AK26" s="29" t="s">
        <v>1091</v>
      </c>
      <c r="AL26" s="29" t="s">
        <v>1128</v>
      </c>
      <c r="AM26" s="29" t="s">
        <v>1093</v>
      </c>
    </row>
    <row r="27" spans="1:39" ht="122" customHeight="1">
      <c r="A27" s="3" t="s">
        <v>484</v>
      </c>
      <c r="B27" s="3" t="s">
        <v>205</v>
      </c>
      <c r="C27" s="4" t="s">
        <v>206</v>
      </c>
      <c r="D27" s="4" t="s">
        <v>76</v>
      </c>
      <c r="E27" s="4" t="s">
        <v>215</v>
      </c>
      <c r="F27" s="4" t="s">
        <v>216</v>
      </c>
      <c r="G27" s="4" t="s">
        <v>217</v>
      </c>
      <c r="H27" s="4" t="s">
        <v>68</v>
      </c>
      <c r="I27" s="4" t="s">
        <v>69</v>
      </c>
      <c r="J27" s="5">
        <v>3</v>
      </c>
      <c r="K27" s="4" t="s">
        <v>218</v>
      </c>
      <c r="L27" s="4" t="s">
        <v>219</v>
      </c>
      <c r="M27" s="6" t="str">
        <f>HYPERLINK("file:///C:/Users/paola/Tesis/04_Bibliography/01_Fenología%20y%20umbrales/03_MULTI_CALOR_MULTI_From_the_floret_to_the_canopy_High_temperature_toleranc.pdf","Abrir PDF local")</f>
        <v>Abrir PDF local</v>
      </c>
      <c r="N27" s="6" t="str">
        <f>HYPERLINK("https://doi.org/10.1016/j.xplc.2023.100629","Abrir fuente en línea")</f>
        <v>Abrir fuente en línea</v>
      </c>
      <c r="O27" s="3" t="s">
        <v>220</v>
      </c>
      <c r="P27" s="4" t="s">
        <v>31</v>
      </c>
      <c r="Q27" s="7" t="s">
        <v>221</v>
      </c>
      <c r="R27" s="14" t="s">
        <v>214</v>
      </c>
      <c r="S27" s="41" t="s">
        <v>471</v>
      </c>
      <c r="T27" s="19" t="s">
        <v>1516</v>
      </c>
      <c r="U27" s="19" t="s">
        <v>688</v>
      </c>
      <c r="V27" s="19" t="s">
        <v>679</v>
      </c>
      <c r="W27" s="32" t="s">
        <v>1517</v>
      </c>
      <c r="X27" s="29" t="s">
        <v>1512</v>
      </c>
      <c r="Y27" s="29" t="s">
        <v>1518</v>
      </c>
      <c r="Z27" s="29" t="s">
        <v>1519</v>
      </c>
      <c r="AI27" s="31" t="s">
        <v>1090</v>
      </c>
      <c r="AJ27" s="29" t="s">
        <v>214</v>
      </c>
      <c r="AK27" s="29" t="s">
        <v>1091</v>
      </c>
      <c r="AL27" s="29" t="s">
        <v>1128</v>
      </c>
      <c r="AM27" s="29" t="s">
        <v>1093</v>
      </c>
    </row>
    <row r="28" spans="1:39" ht="150" customHeight="1">
      <c r="A28" s="3" t="s">
        <v>484</v>
      </c>
      <c r="B28" s="3" t="s">
        <v>205</v>
      </c>
      <c r="C28" s="4" t="s">
        <v>206</v>
      </c>
      <c r="D28" s="4" t="s">
        <v>222</v>
      </c>
      <c r="E28" s="4" t="s">
        <v>223</v>
      </c>
      <c r="F28" s="4" t="s">
        <v>53</v>
      </c>
      <c r="G28" s="4" t="s">
        <v>224</v>
      </c>
      <c r="H28" s="4" t="s">
        <v>225</v>
      </c>
      <c r="I28" s="4" t="s">
        <v>226</v>
      </c>
      <c r="J28" s="5">
        <v>7</v>
      </c>
      <c r="K28" s="4" t="s">
        <v>227</v>
      </c>
      <c r="L28" s="10" t="s">
        <v>228</v>
      </c>
      <c r="M28" s="6" t="str">
        <f>HYPERLINK("file:///C:/Users/paola/Tesis/04_Bibliography/01_Fenología%20y%20umbrales/Otros%20de%20fenología/28_ARROZ_FRIO_ANTESIS_Zhang_2017.pdf","Abrir PDF local")</f>
        <v>Abrir PDF local</v>
      </c>
      <c r="N28" s="6" t="str">
        <f>HYPERLINK("https://doi.org/10.3389/fpls.2017.01350","Abrir fuente en línea")</f>
        <v>Abrir fuente en línea</v>
      </c>
      <c r="O28" s="3" t="s">
        <v>229</v>
      </c>
      <c r="P28" s="4" t="s">
        <v>31</v>
      </c>
      <c r="Q28" s="7" t="s">
        <v>230</v>
      </c>
      <c r="R28" s="14" t="s">
        <v>231</v>
      </c>
      <c r="S28" s="41" t="s">
        <v>471</v>
      </c>
      <c r="T28" s="19" t="s">
        <v>1531</v>
      </c>
      <c r="U28" s="19" t="s">
        <v>689</v>
      </c>
      <c r="V28" s="19" t="s">
        <v>690</v>
      </c>
      <c r="W28" s="32" t="s">
        <v>1532</v>
      </c>
      <c r="X28" s="29" t="s">
        <v>1533</v>
      </c>
      <c r="Y28" s="29" t="s">
        <v>1534</v>
      </c>
      <c r="Z28" s="29" t="s">
        <v>1535</v>
      </c>
      <c r="AI28" s="31" t="s">
        <v>1101</v>
      </c>
      <c r="AJ28" s="29" t="s">
        <v>231</v>
      </c>
      <c r="AK28" s="29" t="s">
        <v>1102</v>
      </c>
      <c r="AL28" s="29" t="s">
        <v>1128</v>
      </c>
      <c r="AM28" s="29" t="s">
        <v>1093</v>
      </c>
    </row>
    <row r="29" spans="1:39" ht="136" customHeight="1">
      <c r="A29" s="3" t="s">
        <v>484</v>
      </c>
      <c r="B29" s="35" t="s">
        <v>205</v>
      </c>
      <c r="C29" s="36" t="s">
        <v>206</v>
      </c>
      <c r="D29" s="4" t="s">
        <v>232</v>
      </c>
      <c r="E29" s="4" t="s">
        <v>233</v>
      </c>
      <c r="F29" s="4" t="s">
        <v>234</v>
      </c>
      <c r="G29" s="4" t="s">
        <v>235</v>
      </c>
      <c r="H29" s="4" t="s">
        <v>236</v>
      </c>
      <c r="I29" s="4" t="s">
        <v>237</v>
      </c>
      <c r="J29" s="5">
        <v>9</v>
      </c>
      <c r="K29" s="4" t="s">
        <v>238</v>
      </c>
      <c r="L29" s="4" t="s">
        <v>239</v>
      </c>
      <c r="M29" s="6" t="str">
        <f>HYPERLINK("file:///C:/Users/paola/Tesis/04_Bibliography/01_Fenología%20y%20umbrales/Otros%20de%20fenología/29_ARROZ_SEQUIA_FLORACION_Yang_2019.pdf","Abrir PDF local")</f>
        <v>Abrir PDF local</v>
      </c>
      <c r="N29" s="6" t="str">
        <f>HYPERLINK("https://doi.org/10.1038/s41598-019-40161-0","Abrir fuente en línea")</f>
        <v>Abrir fuente en línea</v>
      </c>
      <c r="O29" s="3" t="s">
        <v>240</v>
      </c>
      <c r="P29" s="4" t="s">
        <v>31</v>
      </c>
      <c r="Q29" s="7" t="s">
        <v>241</v>
      </c>
      <c r="R29" s="14" t="s">
        <v>242</v>
      </c>
      <c r="S29" s="41" t="s">
        <v>471</v>
      </c>
      <c r="T29" s="19" t="s">
        <v>660</v>
      </c>
      <c r="U29" s="19" t="s">
        <v>691</v>
      </c>
      <c r="V29" s="19"/>
      <c r="W29" s="31" t="s">
        <v>1094</v>
      </c>
      <c r="X29" s="29" t="s">
        <v>1095</v>
      </c>
      <c r="Y29" s="29" t="s">
        <v>1096</v>
      </c>
      <c r="Z29" s="29" t="s">
        <v>1097</v>
      </c>
      <c r="AI29" s="31" t="s">
        <v>1098</v>
      </c>
      <c r="AJ29" s="29" t="s">
        <v>242</v>
      </c>
      <c r="AK29" s="29" t="s">
        <v>1099</v>
      </c>
      <c r="AL29" s="29" t="s">
        <v>1128</v>
      </c>
      <c r="AM29" s="29" t="s">
        <v>1093</v>
      </c>
    </row>
    <row r="30" spans="1:39" ht="136" customHeight="1">
      <c r="A30" s="3" t="s">
        <v>484</v>
      </c>
      <c r="B30" s="3" t="s">
        <v>243</v>
      </c>
      <c r="C30" s="4" t="s">
        <v>244</v>
      </c>
      <c r="D30" s="4" t="s">
        <v>188</v>
      </c>
      <c r="E30" s="4" t="s">
        <v>245</v>
      </c>
      <c r="F30" s="4" t="s">
        <v>168</v>
      </c>
      <c r="G30" s="4" t="s">
        <v>246</v>
      </c>
      <c r="H30" s="4" t="s">
        <v>170</v>
      </c>
      <c r="I30" s="4" t="s">
        <v>171</v>
      </c>
      <c r="J30" s="5">
        <v>2</v>
      </c>
      <c r="K30" s="4" t="s">
        <v>247</v>
      </c>
      <c r="L30" s="4" t="s">
        <v>192</v>
      </c>
      <c r="M30" s="6" t="str">
        <f>HYPERLINK("file:///C:/Users/paola/Tesis/04_Bibliography/01_Fenología%20y%20umbrales/08_ARROZ_MULTI_MULTI_esd_16_1971_2025.pdf","Abrir PDF local")</f>
        <v>Abrir PDF local</v>
      </c>
      <c r="N30" s="6" t="str">
        <f>HYPERLINK("https://doi.org/10.5194/esd-16-1971-2025","Abrir fuente en línea")</f>
        <v>Abrir fuente en línea</v>
      </c>
      <c r="O30" s="3" t="s">
        <v>248</v>
      </c>
      <c r="P30" s="4" t="s">
        <v>31</v>
      </c>
      <c r="Q30" s="7" t="s">
        <v>249</v>
      </c>
      <c r="R30" s="14" t="s">
        <v>250</v>
      </c>
      <c r="S30" s="4" t="s">
        <v>476</v>
      </c>
      <c r="T30" s="19" t="s">
        <v>1536</v>
      </c>
      <c r="U30" s="19" t="s">
        <v>689</v>
      </c>
      <c r="V30" s="19" t="s">
        <v>681</v>
      </c>
      <c r="W30" s="32" t="s">
        <v>1537</v>
      </c>
      <c r="X30" s="29" t="s">
        <v>1538</v>
      </c>
      <c r="Y30" s="29" t="s">
        <v>1539</v>
      </c>
      <c r="Z30" s="29" t="s">
        <v>1540</v>
      </c>
      <c r="AI30" s="32" t="s">
        <v>1119</v>
      </c>
      <c r="AJ30" s="29" t="s">
        <v>250</v>
      </c>
      <c r="AK30" s="29" t="s">
        <v>1129</v>
      </c>
      <c r="AL30" s="29" t="s">
        <v>1130</v>
      </c>
      <c r="AM30" s="29" t="s">
        <v>1122</v>
      </c>
    </row>
    <row r="31" spans="1:39" ht="136" customHeight="1">
      <c r="A31" s="3" t="s">
        <v>484</v>
      </c>
      <c r="B31" s="3" t="s">
        <v>243</v>
      </c>
      <c r="C31" s="4" t="s">
        <v>244</v>
      </c>
      <c r="D31" s="4" t="s">
        <v>196</v>
      </c>
      <c r="E31" s="4" t="s">
        <v>197</v>
      </c>
      <c r="F31" s="4" t="s">
        <v>168</v>
      </c>
      <c r="G31" s="4" t="s">
        <v>198</v>
      </c>
      <c r="H31" s="4" t="s">
        <v>170</v>
      </c>
      <c r="I31" s="4" t="s">
        <v>171</v>
      </c>
      <c r="J31" s="5">
        <v>2</v>
      </c>
      <c r="K31" s="4" t="s">
        <v>199</v>
      </c>
      <c r="L31" s="4" t="s">
        <v>200</v>
      </c>
      <c r="M31" s="6" t="str">
        <f>HYPERLINK("file:///C:/Users/paola/Tesis/04_Bibliography/01_Fenología%20y%20umbrales/08_ARROZ_MULTI_MULTI_esd_16_1971_2025.pdf","Abrir PDF local")</f>
        <v>Abrir PDF local</v>
      </c>
      <c r="N31" s="6" t="str">
        <f>HYPERLINK("https://doi.org/10.5194/esd-16-1971-2025","Abrir fuente en línea")</f>
        <v>Abrir fuente en línea</v>
      </c>
      <c r="O31" s="3" t="s">
        <v>201</v>
      </c>
      <c r="P31" s="4" t="s">
        <v>31</v>
      </c>
      <c r="Q31" s="7" t="s">
        <v>251</v>
      </c>
      <c r="R31" s="14" t="s">
        <v>250</v>
      </c>
      <c r="S31" s="4" t="s">
        <v>476</v>
      </c>
      <c r="T31" s="19" t="s">
        <v>1543</v>
      </c>
      <c r="U31" s="19" t="s">
        <v>686</v>
      </c>
      <c r="V31" s="19" t="s">
        <v>681</v>
      </c>
      <c r="W31" s="32" t="s">
        <v>1544</v>
      </c>
      <c r="X31" s="29" t="s">
        <v>1545</v>
      </c>
      <c r="Y31" s="29" t="s">
        <v>1546</v>
      </c>
      <c r="Z31" s="29" t="s">
        <v>1547</v>
      </c>
      <c r="AI31" s="32" t="s">
        <v>1119</v>
      </c>
      <c r="AJ31" s="29" t="s">
        <v>250</v>
      </c>
      <c r="AK31" s="29" t="s">
        <v>1126</v>
      </c>
      <c r="AL31" s="29" t="s">
        <v>1130</v>
      </c>
      <c r="AM31" s="29" t="s">
        <v>1122</v>
      </c>
    </row>
    <row r="32" spans="1:39" ht="108" customHeight="1">
      <c r="A32" s="3" t="s">
        <v>484</v>
      </c>
      <c r="B32" s="3" t="s">
        <v>252</v>
      </c>
      <c r="C32" s="4" t="s">
        <v>253</v>
      </c>
      <c r="D32" s="4" t="s">
        <v>254</v>
      </c>
      <c r="E32" s="4" t="s">
        <v>255</v>
      </c>
      <c r="F32" s="4" t="s">
        <v>127</v>
      </c>
      <c r="G32" s="4" t="s">
        <v>256</v>
      </c>
      <c r="H32" s="4" t="s">
        <v>257</v>
      </c>
      <c r="I32" s="4" t="s">
        <v>258</v>
      </c>
      <c r="J32" s="5">
        <v>2</v>
      </c>
      <c r="K32" s="4" t="s">
        <v>259</v>
      </c>
      <c r="L32" s="4" t="s">
        <v>260</v>
      </c>
      <c r="M32" s="6" t="str">
        <f>HYPERLINK("file:///C:/Users/paola/Tesis/04_Bibliography/01_FenologÃ­a%20y%20umbrales/Otros%20de%20fenologÃ­a/53_PMC12535988.pdf","Abrir PDF local")</f>
        <v>Abrir PDF local</v>
      </c>
      <c r="N32" s="6" t="str">
        <f>HYPERLINK("https://europepmc.org/articles/PMC12535988","Abrir fuente en línea")</f>
        <v>Abrir fuente en línea</v>
      </c>
      <c r="O32" s="3" t="s">
        <v>261</v>
      </c>
      <c r="P32" s="4" t="s">
        <v>31</v>
      </c>
      <c r="Q32" s="7" t="s">
        <v>262</v>
      </c>
      <c r="R32" s="14" t="s">
        <v>263</v>
      </c>
      <c r="S32" s="4" t="s">
        <v>479</v>
      </c>
      <c r="T32" s="19" t="s">
        <v>1536</v>
      </c>
      <c r="U32" s="19" t="s">
        <v>692</v>
      </c>
      <c r="V32" s="19"/>
      <c r="W32" s="32" t="s">
        <v>1537</v>
      </c>
      <c r="X32" s="29" t="s">
        <v>1538</v>
      </c>
      <c r="Y32" s="29" t="s">
        <v>1539</v>
      </c>
      <c r="Z32" s="29" t="s">
        <v>1540</v>
      </c>
      <c r="AI32" s="31" t="s">
        <v>1090</v>
      </c>
      <c r="AJ32" s="29" t="s">
        <v>1131</v>
      </c>
      <c r="AK32" s="29" t="s">
        <v>1091</v>
      </c>
      <c r="AL32" s="29" t="s">
        <v>1132</v>
      </c>
      <c r="AM32" s="29" t="s">
        <v>1131</v>
      </c>
    </row>
    <row r="33" spans="1:39" ht="94" hidden="1" customHeight="1">
      <c r="A33" s="3" t="s">
        <v>485</v>
      </c>
      <c r="B33" s="3" t="s">
        <v>264</v>
      </c>
      <c r="C33" s="4" t="s">
        <v>265</v>
      </c>
      <c r="D33" s="4" t="s">
        <v>102</v>
      </c>
      <c r="E33" s="4" t="s">
        <v>266</v>
      </c>
      <c r="F33" s="4" t="s">
        <v>267</v>
      </c>
      <c r="G33" s="4" t="s">
        <v>268</v>
      </c>
      <c r="H33" s="4" t="s">
        <v>269</v>
      </c>
      <c r="I33" s="4" t="s">
        <v>270</v>
      </c>
      <c r="J33" s="5">
        <v>1</v>
      </c>
      <c r="K33" s="4" t="s">
        <v>271</v>
      </c>
      <c r="L33" s="4" t="s">
        <v>272</v>
      </c>
      <c r="M33" s="6" t="str">
        <f>HYPERLINK("file:///C:/Users/paola/Tesis/04_Bibliography/01_Fenología%20y%20umbrales/16_MULTI_CALOR_MADURACION_Consistent_negative_response_of_US_crops_to_high_temper.pdf","Abrir PDF local")</f>
        <v>Abrir PDF local</v>
      </c>
      <c r="N33" s="6" t="str">
        <f>HYPERLINK("https://doi.org/10.1038/ncomms13931","Abrir fuente en línea")</f>
        <v>Abrir fuente en línea</v>
      </c>
      <c r="O33" s="3" t="s">
        <v>273</v>
      </c>
      <c r="P33" s="4" t="s">
        <v>31</v>
      </c>
      <c r="Q33" s="8" t="s">
        <v>274</v>
      </c>
      <c r="R33" s="14" t="s">
        <v>275</v>
      </c>
      <c r="S33" s="41" t="s">
        <v>465</v>
      </c>
      <c r="T33" s="19" t="s">
        <v>1548</v>
      </c>
      <c r="U33" s="19" t="s">
        <v>693</v>
      </c>
      <c r="V33" s="19" t="s">
        <v>681</v>
      </c>
      <c r="W33" s="32" t="s">
        <v>1549</v>
      </c>
      <c r="X33" s="29" t="s">
        <v>1550</v>
      </c>
      <c r="Y33" s="29" t="s">
        <v>1551</v>
      </c>
      <c r="Z33" s="29" t="s">
        <v>1552</v>
      </c>
      <c r="AI33" s="31" t="s">
        <v>1133</v>
      </c>
      <c r="AJ33" s="29" t="s">
        <v>1134</v>
      </c>
      <c r="AK33" s="29" t="s">
        <v>1135</v>
      </c>
      <c r="AL33" s="29" t="s">
        <v>1136</v>
      </c>
      <c r="AM33" s="29" t="s">
        <v>1134</v>
      </c>
    </row>
    <row r="34" spans="1:39" ht="108" hidden="1" customHeight="1">
      <c r="A34" s="3" t="s">
        <v>485</v>
      </c>
      <c r="B34" s="3" t="s">
        <v>264</v>
      </c>
      <c r="C34" s="4" t="s">
        <v>265</v>
      </c>
      <c r="D34" s="4" t="s">
        <v>276</v>
      </c>
      <c r="E34" s="4" t="s">
        <v>277</v>
      </c>
      <c r="F34" s="4" t="s">
        <v>278</v>
      </c>
      <c r="G34" s="4" t="s">
        <v>279</v>
      </c>
      <c r="H34" s="4" t="s">
        <v>280</v>
      </c>
      <c r="I34" s="4" t="s">
        <v>281</v>
      </c>
      <c r="J34" s="5">
        <v>3</v>
      </c>
      <c r="K34" s="4" t="s">
        <v>282</v>
      </c>
      <c r="L34" s="4" t="s">
        <v>283</v>
      </c>
      <c r="M34" s="6" t="str">
        <f>HYPERLINK("file:///C:/Users/paola/Tesis/04_Bibliography/05_Calendarios_fenologicos_monitoreo_y_alerta/25_soya_temperatura_desarrollo_MSState.pdf","Abrir PDF local")</f>
        <v>Abrir PDF local</v>
      </c>
      <c r="N34" s="6" t="str">
        <f>HYPERLINK("https://hdl.handle.net/11668/20905","Abrir fuente en línea")</f>
        <v>Abrir fuente en línea</v>
      </c>
      <c r="O34" s="3" t="s">
        <v>284</v>
      </c>
      <c r="P34" s="4" t="s">
        <v>31</v>
      </c>
      <c r="Q34" s="8" t="s">
        <v>285</v>
      </c>
      <c r="R34" s="14" t="s">
        <v>147</v>
      </c>
      <c r="S34" s="41" t="s">
        <v>465</v>
      </c>
      <c r="T34" s="19" t="s">
        <v>1553</v>
      </c>
      <c r="U34" s="19" t="s">
        <v>694</v>
      </c>
      <c r="V34" s="19"/>
      <c r="W34" s="32" t="s">
        <v>1554</v>
      </c>
      <c r="X34" s="29" t="s">
        <v>1555</v>
      </c>
      <c r="Y34" s="29" t="s">
        <v>1556</v>
      </c>
      <c r="Z34" s="29" t="s">
        <v>1557</v>
      </c>
      <c r="AI34" s="31" t="s">
        <v>1137</v>
      </c>
      <c r="AJ34" s="29" t="s">
        <v>147</v>
      </c>
      <c r="AK34" s="29" t="s">
        <v>1138</v>
      </c>
      <c r="AL34" s="29" t="s">
        <v>1136</v>
      </c>
      <c r="AM34" s="29" t="s">
        <v>1093</v>
      </c>
    </row>
    <row r="35" spans="1:39" ht="80" hidden="1" customHeight="1">
      <c r="A35" s="3" t="s">
        <v>485</v>
      </c>
      <c r="B35" s="35" t="s">
        <v>264</v>
      </c>
      <c r="C35" s="36" t="s">
        <v>265</v>
      </c>
      <c r="D35" s="4" t="s">
        <v>286</v>
      </c>
      <c r="E35" s="4" t="s">
        <v>287</v>
      </c>
      <c r="F35" s="4" t="s">
        <v>288</v>
      </c>
      <c r="G35" s="4" t="s">
        <v>289</v>
      </c>
      <c r="H35" s="4" t="s">
        <v>290</v>
      </c>
      <c r="I35" s="4" t="s">
        <v>291</v>
      </c>
      <c r="J35" s="5">
        <v>1</v>
      </c>
      <c r="K35" s="4" t="s">
        <v>292</v>
      </c>
      <c r="L35" s="4" t="s">
        <v>293</v>
      </c>
      <c r="M35" s="6" t="str">
        <f>HYPERLINK("file:///C:/Users/paola/Tesis/04_Bibliography/01_Fenología%20y%20umbrales/Otros%20de%20fenología/42_SOYA_INUNDACION_DURACION_FASE_Shen_2023.pdf","Abrir PDF local")</f>
        <v>Abrir PDF local</v>
      </c>
      <c r="N35" s="6" t="str">
        <f>HYPERLINK("https://doi.org/10.3390/su15010738","Abrir fuente en línea")</f>
        <v>Abrir fuente en línea</v>
      </c>
      <c r="O35" s="3" t="s">
        <v>294</v>
      </c>
      <c r="P35" s="4" t="s">
        <v>31</v>
      </c>
      <c r="Q35" s="7" t="s">
        <v>295</v>
      </c>
      <c r="R35" s="14" t="s">
        <v>34</v>
      </c>
      <c r="S35" s="41" t="s">
        <v>465</v>
      </c>
      <c r="T35" s="19" t="s">
        <v>695</v>
      </c>
      <c r="U35" s="19" t="s">
        <v>696</v>
      </c>
      <c r="V35" s="19" t="s">
        <v>697</v>
      </c>
      <c r="W35" s="33" t="s">
        <v>1112</v>
      </c>
      <c r="X35" s="29" t="s">
        <v>1113</v>
      </c>
      <c r="Y35" s="29" t="s">
        <v>1114</v>
      </c>
      <c r="Z35" s="29" t="s">
        <v>1115</v>
      </c>
      <c r="AI35" s="33" t="s">
        <v>1116</v>
      </c>
      <c r="AJ35" s="29" t="s">
        <v>34</v>
      </c>
      <c r="AK35" s="29" t="s">
        <v>1117</v>
      </c>
      <c r="AL35" s="29" t="s">
        <v>1136</v>
      </c>
      <c r="AM35" s="29" t="s">
        <v>1093</v>
      </c>
    </row>
    <row r="36" spans="1:39" ht="80" hidden="1" customHeight="1">
      <c r="A36" s="3" t="s">
        <v>485</v>
      </c>
      <c r="B36" s="3" t="s">
        <v>296</v>
      </c>
      <c r="C36" s="4" t="s">
        <v>297</v>
      </c>
      <c r="D36" s="4" t="s">
        <v>102</v>
      </c>
      <c r="E36" s="4" t="s">
        <v>266</v>
      </c>
      <c r="F36" s="4" t="s">
        <v>267</v>
      </c>
      <c r="G36" s="4" t="s">
        <v>268</v>
      </c>
      <c r="H36" s="4" t="s">
        <v>269</v>
      </c>
      <c r="I36" s="4" t="s">
        <v>270</v>
      </c>
      <c r="J36" s="5">
        <v>1</v>
      </c>
      <c r="K36" s="4" t="s">
        <v>271</v>
      </c>
      <c r="L36" s="4" t="s">
        <v>272</v>
      </c>
      <c r="M36" s="6" t="str">
        <f>HYPERLINK("file:///C:/Users/paola/Tesis/04_Bibliography/01_Fenología%20y%20umbrales/16_MULTI_CALOR_MADURACION_Consistent_negative_response_of_US_crops_to_high_temper.pdf","Abrir PDF local")</f>
        <v>Abrir PDF local</v>
      </c>
      <c r="N36" s="6" t="str">
        <f>HYPERLINK("https://doi.org/10.1038/ncomms13931","Abrir fuente en línea")</f>
        <v>Abrir fuente en línea</v>
      </c>
      <c r="O36" s="3" t="s">
        <v>273</v>
      </c>
      <c r="P36" s="4" t="s">
        <v>31</v>
      </c>
      <c r="Q36" s="8" t="s">
        <v>298</v>
      </c>
      <c r="R36" s="4" t="s">
        <v>299</v>
      </c>
      <c r="S36" s="41" t="s">
        <v>468</v>
      </c>
      <c r="T36" s="19" t="s">
        <v>1548</v>
      </c>
      <c r="U36" s="19" t="s">
        <v>693</v>
      </c>
      <c r="V36" s="19" t="s">
        <v>681</v>
      </c>
      <c r="W36" s="32" t="s">
        <v>1549</v>
      </c>
      <c r="X36" s="29" t="s">
        <v>1550</v>
      </c>
      <c r="Y36" s="29" t="s">
        <v>1551</v>
      </c>
      <c r="Z36" s="29" t="s">
        <v>1552</v>
      </c>
      <c r="AI36" s="31" t="s">
        <v>1133</v>
      </c>
      <c r="AJ36" s="29" t="s">
        <v>1139</v>
      </c>
      <c r="AK36" s="29" t="s">
        <v>1135</v>
      </c>
      <c r="AL36" s="29" t="s">
        <v>1140</v>
      </c>
      <c r="AM36" s="29" t="s">
        <v>1139</v>
      </c>
    </row>
    <row r="37" spans="1:39" ht="80" hidden="1" customHeight="1">
      <c r="A37" s="3" t="s">
        <v>485</v>
      </c>
      <c r="B37" s="35" t="s">
        <v>296</v>
      </c>
      <c r="C37" s="36" t="s">
        <v>297</v>
      </c>
      <c r="D37" s="4" t="s">
        <v>286</v>
      </c>
      <c r="E37" s="4" t="s">
        <v>287</v>
      </c>
      <c r="F37" s="4" t="s">
        <v>288</v>
      </c>
      <c r="G37" s="4" t="s">
        <v>289</v>
      </c>
      <c r="H37" s="4" t="s">
        <v>290</v>
      </c>
      <c r="I37" s="4" t="s">
        <v>291</v>
      </c>
      <c r="J37" s="5">
        <v>1</v>
      </c>
      <c r="K37" s="4" t="s">
        <v>292</v>
      </c>
      <c r="L37" s="4" t="s">
        <v>293</v>
      </c>
      <c r="M37" s="6" t="str">
        <f>HYPERLINK("file:///C:/Users/paola/Tesis/04_Bibliography/01_Fenología%20y%20umbrales/Otros%20de%20fenología/42_SOYA_INUNDACION_DURACION_FASE_Shen_2023.pdf","Abrir PDF local")</f>
        <v>Abrir PDF local</v>
      </c>
      <c r="N37" s="6" t="str">
        <f>HYPERLINK("https://doi.org/10.3390/su15010738","Abrir fuente en línea")</f>
        <v>Abrir fuente en línea</v>
      </c>
      <c r="O37" s="3" t="s">
        <v>294</v>
      </c>
      <c r="P37" s="4" t="s">
        <v>31</v>
      </c>
      <c r="Q37" s="7" t="s">
        <v>300</v>
      </c>
      <c r="R37" s="14" t="s">
        <v>48</v>
      </c>
      <c r="S37" s="41" t="s">
        <v>468</v>
      </c>
      <c r="T37" s="19" t="s">
        <v>695</v>
      </c>
      <c r="U37" s="19" t="s">
        <v>696</v>
      </c>
      <c r="V37" s="19" t="s">
        <v>697</v>
      </c>
      <c r="W37" s="33" t="s">
        <v>1112</v>
      </c>
      <c r="X37" s="29" t="s">
        <v>1113</v>
      </c>
      <c r="Y37" s="29" t="s">
        <v>1114</v>
      </c>
      <c r="Z37" s="29" t="s">
        <v>1115</v>
      </c>
      <c r="AI37" s="33" t="s">
        <v>1116</v>
      </c>
      <c r="AJ37" s="29" t="s">
        <v>48</v>
      </c>
      <c r="AK37" s="29" t="s">
        <v>1117</v>
      </c>
      <c r="AL37" s="29" t="s">
        <v>1140</v>
      </c>
      <c r="AM37" s="29" t="s">
        <v>1093</v>
      </c>
    </row>
    <row r="38" spans="1:39" ht="80" hidden="1" customHeight="1">
      <c r="A38" s="3" t="s">
        <v>485</v>
      </c>
      <c r="B38" s="3" t="s">
        <v>301</v>
      </c>
      <c r="C38" s="4" t="s">
        <v>302</v>
      </c>
      <c r="D38" s="4" t="s">
        <v>102</v>
      </c>
      <c r="E38" s="4" t="s">
        <v>266</v>
      </c>
      <c r="F38" s="4" t="s">
        <v>267</v>
      </c>
      <c r="G38" s="4" t="s">
        <v>268</v>
      </c>
      <c r="H38" s="4" t="s">
        <v>269</v>
      </c>
      <c r="I38" s="4" t="s">
        <v>270</v>
      </c>
      <c r="J38" s="5">
        <v>1</v>
      </c>
      <c r="K38" s="4" t="s">
        <v>271</v>
      </c>
      <c r="L38" s="4" t="s">
        <v>272</v>
      </c>
      <c r="M38" s="6" t="str">
        <f>HYPERLINK("file:///C:/Users/paola/Tesis/04_Bibliography/01_Fenología%20y%20umbrales/16_MULTI_CALOR_MADURACION_Consistent_negative_response_of_US_crops_to_high_temper.pdf","Abrir PDF local")</f>
        <v>Abrir PDF local</v>
      </c>
      <c r="N38" s="6" t="str">
        <f>HYPERLINK("https://doi.org/10.1038/ncomms13931","Abrir fuente en línea")</f>
        <v>Abrir fuente en línea</v>
      </c>
      <c r="O38" s="3" t="s">
        <v>273</v>
      </c>
      <c r="P38" s="4" t="s">
        <v>31</v>
      </c>
      <c r="Q38" s="7" t="s">
        <v>303</v>
      </c>
      <c r="R38" s="4" t="s">
        <v>299</v>
      </c>
      <c r="S38" s="41" t="s">
        <v>471</v>
      </c>
      <c r="T38" s="19" t="s">
        <v>1548</v>
      </c>
      <c r="U38" s="19" t="s">
        <v>693</v>
      </c>
      <c r="V38" s="19" t="s">
        <v>681</v>
      </c>
      <c r="W38" s="32" t="s">
        <v>1549</v>
      </c>
      <c r="X38" s="29" t="s">
        <v>1550</v>
      </c>
      <c r="Y38" s="29" t="s">
        <v>1551</v>
      </c>
      <c r="Z38" s="29" t="s">
        <v>1552</v>
      </c>
      <c r="AI38" s="31" t="s">
        <v>1133</v>
      </c>
      <c r="AJ38" s="29" t="s">
        <v>299</v>
      </c>
      <c r="AK38" s="29" t="s">
        <v>1135</v>
      </c>
      <c r="AL38" s="29" t="s">
        <v>1141</v>
      </c>
      <c r="AM38" s="29" t="s">
        <v>1093</v>
      </c>
    </row>
    <row r="39" spans="1:39" ht="136" hidden="1" customHeight="1">
      <c r="A39" s="3" t="s">
        <v>485</v>
      </c>
      <c r="B39" s="35" t="s">
        <v>301</v>
      </c>
      <c r="C39" s="36" t="s">
        <v>302</v>
      </c>
      <c r="D39" s="4" t="s">
        <v>304</v>
      </c>
      <c r="E39" s="4" t="s">
        <v>305</v>
      </c>
      <c r="F39" s="4" t="s">
        <v>53</v>
      </c>
      <c r="G39" s="4" t="s">
        <v>306</v>
      </c>
      <c r="H39" s="4" t="s">
        <v>307</v>
      </c>
      <c r="I39" s="4" t="s">
        <v>308</v>
      </c>
      <c r="J39" s="5">
        <v>3</v>
      </c>
      <c r="K39" s="4" t="s">
        <v>309</v>
      </c>
      <c r="L39" s="4" t="s">
        <v>310</v>
      </c>
      <c r="M39" s="6" t="str">
        <f>HYPERLINK("file:///C:/Users/paola/Tesis/04_Bibliography/01_Fenología%20y%20umbrales/Otros%20de%20fenología/41_SOYA_ANEGAMIENTO_R1_Adegoye_2023.pdf","Abrir PDF local")</f>
        <v>Abrir PDF local</v>
      </c>
      <c r="N39" s="6" t="str">
        <f>HYPERLINK("https://doi.org/10.3390/agriculture13040844","Abrir fuente en línea")</f>
        <v>Abrir fuente en línea</v>
      </c>
      <c r="O39" s="3" t="s">
        <v>311</v>
      </c>
      <c r="P39" s="4" t="s">
        <v>31</v>
      </c>
      <c r="Q39" s="7" t="s">
        <v>312</v>
      </c>
      <c r="R39" s="14" t="s">
        <v>313</v>
      </c>
      <c r="S39" s="41" t="s">
        <v>471</v>
      </c>
      <c r="T39" s="11" t="s">
        <v>698</v>
      </c>
      <c r="U39" s="19" t="s">
        <v>699</v>
      </c>
      <c r="V39" s="19" t="s">
        <v>700</v>
      </c>
      <c r="W39" s="33" t="s">
        <v>1112</v>
      </c>
      <c r="X39" s="29" t="s">
        <v>1113</v>
      </c>
      <c r="Y39" s="29" t="s">
        <v>1114</v>
      </c>
      <c r="Z39" s="29" t="s">
        <v>1115</v>
      </c>
      <c r="AI39" s="33" t="s">
        <v>1116</v>
      </c>
      <c r="AJ39" s="29" t="s">
        <v>313</v>
      </c>
      <c r="AK39" s="29" t="s">
        <v>1117</v>
      </c>
      <c r="AL39" s="29" t="s">
        <v>1141</v>
      </c>
      <c r="AM39" s="29" t="s">
        <v>1093</v>
      </c>
    </row>
    <row r="40" spans="1:39" ht="80" hidden="1" customHeight="1">
      <c r="A40" s="3" t="s">
        <v>485</v>
      </c>
      <c r="B40" s="35" t="s">
        <v>301</v>
      </c>
      <c r="C40" s="36" t="s">
        <v>302</v>
      </c>
      <c r="D40" s="4" t="s">
        <v>286</v>
      </c>
      <c r="E40" s="4" t="s">
        <v>287</v>
      </c>
      <c r="F40" s="4" t="s">
        <v>288</v>
      </c>
      <c r="G40" s="4" t="s">
        <v>289</v>
      </c>
      <c r="H40" s="4" t="s">
        <v>290</v>
      </c>
      <c r="I40" s="4" t="s">
        <v>291</v>
      </c>
      <c r="J40" s="5">
        <v>1</v>
      </c>
      <c r="K40" s="4" t="s">
        <v>292</v>
      </c>
      <c r="L40" s="4" t="s">
        <v>293</v>
      </c>
      <c r="M40" s="6" t="str">
        <f>HYPERLINK("file:///C:/Users/paola/Tesis/04_Bibliography/01_Fenología%20y%20umbrales/Otros%20de%20fenología/42_SOYA_INUNDACION_DURACION_FASE_Shen_2023.pdf","Abrir PDF local")</f>
        <v>Abrir PDF local</v>
      </c>
      <c r="N40" s="6" t="str">
        <f>HYPERLINK("https://doi.org/10.3390/su15010738","Abrir fuente en línea")</f>
        <v>Abrir fuente en línea</v>
      </c>
      <c r="O40" s="3" t="s">
        <v>294</v>
      </c>
      <c r="P40" s="4" t="s">
        <v>31</v>
      </c>
      <c r="Q40" s="7" t="s">
        <v>314</v>
      </c>
      <c r="R40" s="14" t="s">
        <v>75</v>
      </c>
      <c r="S40" s="41" t="s">
        <v>471</v>
      </c>
      <c r="T40" s="19" t="s">
        <v>695</v>
      </c>
      <c r="U40" s="19" t="s">
        <v>696</v>
      </c>
      <c r="V40" s="19" t="s">
        <v>697</v>
      </c>
      <c r="W40" s="33" t="s">
        <v>1112</v>
      </c>
      <c r="X40" s="29" t="s">
        <v>1113</v>
      </c>
      <c r="Y40" s="29" t="s">
        <v>1114</v>
      </c>
      <c r="Z40" s="29" t="s">
        <v>1115</v>
      </c>
      <c r="AI40" s="33" t="s">
        <v>1116</v>
      </c>
      <c r="AJ40" s="29" t="s">
        <v>75</v>
      </c>
      <c r="AK40" s="29" t="s">
        <v>1117</v>
      </c>
      <c r="AL40" s="29" t="s">
        <v>1141</v>
      </c>
      <c r="AM40" s="29" t="s">
        <v>1093</v>
      </c>
    </row>
    <row r="41" spans="1:39" ht="72" hidden="1" customHeight="1">
      <c r="A41" s="3" t="s">
        <v>485</v>
      </c>
      <c r="B41" s="35" t="s">
        <v>301</v>
      </c>
      <c r="C41" s="36" t="s">
        <v>302</v>
      </c>
      <c r="D41" s="4" t="s">
        <v>286</v>
      </c>
      <c r="E41" s="4" t="s">
        <v>315</v>
      </c>
      <c r="F41" s="4" t="s">
        <v>288</v>
      </c>
      <c r="G41" s="4" t="s">
        <v>316</v>
      </c>
      <c r="H41" s="4" t="s">
        <v>317</v>
      </c>
      <c r="I41" s="4" t="s">
        <v>291</v>
      </c>
      <c r="J41" s="5">
        <v>1</v>
      </c>
      <c r="K41" s="4" t="s">
        <v>292</v>
      </c>
      <c r="L41" s="4" t="s">
        <v>318</v>
      </c>
      <c r="M41" s="6" t="str">
        <f>HYPERLINK("file:///C:/Users/paola/Tesis/04_Bibliography/01_Fenología%20y%20umbrales/Otros%20de%20fenología/42_SOYA_INUNDACION_DURACION_FASE_Shen_2023.pdf","Abrir PDF local")</f>
        <v>Abrir PDF local</v>
      </c>
      <c r="N41" s="6" t="str">
        <f>HYPERLINK("https://doi.org/10.3390/su15010738","Abrir fuente en línea")</f>
        <v>Abrir fuente en línea</v>
      </c>
      <c r="O41" s="3" t="s">
        <v>319</v>
      </c>
      <c r="P41" s="4" t="s">
        <v>31</v>
      </c>
      <c r="Q41" s="7" t="s">
        <v>320</v>
      </c>
      <c r="R41" s="14" t="s">
        <v>321</v>
      </c>
      <c r="S41" s="41" t="s">
        <v>471</v>
      </c>
      <c r="T41" s="19" t="s">
        <v>695</v>
      </c>
      <c r="U41" s="19" t="s">
        <v>701</v>
      </c>
      <c r="V41" s="19" t="s">
        <v>668</v>
      </c>
      <c r="W41" s="33" t="s">
        <v>1112</v>
      </c>
      <c r="X41" s="29" t="s">
        <v>1113</v>
      </c>
      <c r="Y41" s="29" t="s">
        <v>1114</v>
      </c>
      <c r="Z41" s="29" t="s">
        <v>1115</v>
      </c>
      <c r="AI41" s="33" t="s">
        <v>1116</v>
      </c>
      <c r="AJ41" s="29" t="s">
        <v>321</v>
      </c>
      <c r="AK41" s="29" t="s">
        <v>1117</v>
      </c>
      <c r="AL41" s="29" t="s">
        <v>1141</v>
      </c>
      <c r="AM41" s="29" t="s">
        <v>1093</v>
      </c>
    </row>
    <row r="42" spans="1:39" ht="72" hidden="1" customHeight="1">
      <c r="A42" s="3" t="s">
        <v>485</v>
      </c>
      <c r="B42" s="3" t="s">
        <v>97</v>
      </c>
      <c r="C42" s="4" t="s">
        <v>322</v>
      </c>
      <c r="D42" s="4" t="s">
        <v>102</v>
      </c>
      <c r="E42" s="4" t="s">
        <v>266</v>
      </c>
      <c r="F42" s="4" t="s">
        <v>267</v>
      </c>
      <c r="G42" s="4" t="s">
        <v>268</v>
      </c>
      <c r="H42" s="4" t="s">
        <v>269</v>
      </c>
      <c r="I42" s="4" t="s">
        <v>270</v>
      </c>
      <c r="J42" s="5">
        <v>1</v>
      </c>
      <c r="K42" s="4" t="s">
        <v>271</v>
      </c>
      <c r="L42" s="4" t="s">
        <v>272</v>
      </c>
      <c r="M42" s="6" t="str">
        <f>HYPERLINK("file:///C:/Users/paola/Tesis/04_Bibliography/01_Fenología%20y%20umbrales/16_MULTI_CALOR_MADURACION_Consistent_negative_response_of_US_crops_to_high_temper.pdf","Abrir PDF local")</f>
        <v>Abrir PDF local</v>
      </c>
      <c r="N42" s="6" t="str">
        <f>HYPERLINK("https://doi.org/10.1038/ncomms13931","Abrir fuente en línea")</f>
        <v>Abrir fuente en línea</v>
      </c>
      <c r="O42" s="3" t="s">
        <v>273</v>
      </c>
      <c r="P42" s="4" t="s">
        <v>31</v>
      </c>
      <c r="Q42" s="8" t="s">
        <v>323</v>
      </c>
      <c r="R42" s="4" t="s">
        <v>299</v>
      </c>
      <c r="S42" s="41" t="s">
        <v>473</v>
      </c>
      <c r="T42" s="19" t="s">
        <v>1548</v>
      </c>
      <c r="U42" s="19" t="s">
        <v>693</v>
      </c>
      <c r="V42" s="19" t="s">
        <v>681</v>
      </c>
      <c r="W42" s="32" t="s">
        <v>1549</v>
      </c>
      <c r="X42" s="29" t="s">
        <v>1550</v>
      </c>
      <c r="Y42" s="29" t="s">
        <v>1551</v>
      </c>
      <c r="Z42" s="29" t="s">
        <v>1552</v>
      </c>
      <c r="AI42" s="31" t="s">
        <v>1133</v>
      </c>
      <c r="AJ42" s="29" t="s">
        <v>1142</v>
      </c>
      <c r="AK42" s="29" t="s">
        <v>1135</v>
      </c>
      <c r="AL42" s="29" t="s">
        <v>1143</v>
      </c>
      <c r="AM42" s="29" t="s">
        <v>1142</v>
      </c>
    </row>
    <row r="43" spans="1:39" ht="80" hidden="1" customHeight="1">
      <c r="A43" s="3" t="s">
        <v>485</v>
      </c>
      <c r="B43" s="35" t="s">
        <v>97</v>
      </c>
      <c r="C43" s="36" t="s">
        <v>322</v>
      </c>
      <c r="D43" s="4" t="s">
        <v>286</v>
      </c>
      <c r="E43" s="4" t="s">
        <v>287</v>
      </c>
      <c r="F43" s="4" t="s">
        <v>288</v>
      </c>
      <c r="G43" s="4" t="s">
        <v>289</v>
      </c>
      <c r="H43" s="4" t="s">
        <v>290</v>
      </c>
      <c r="I43" s="4" t="s">
        <v>291</v>
      </c>
      <c r="J43" s="5">
        <v>1</v>
      </c>
      <c r="K43" s="4" t="s">
        <v>292</v>
      </c>
      <c r="L43" s="4" t="s">
        <v>293</v>
      </c>
      <c r="M43" s="6" t="str">
        <f>HYPERLINK("file:///C:/Users/paola/Tesis/04_Bibliography/01_Fenología%20y%20umbrales/Otros%20de%20fenología/42_SOYA_INUNDACION_DURACION_FASE_Shen_2023.pdf","Abrir PDF local")</f>
        <v>Abrir PDF local</v>
      </c>
      <c r="N43" s="6" t="str">
        <f>HYPERLINK("https://doi.org/10.3390/su15010738","Abrir fuente en línea")</f>
        <v>Abrir fuente en línea</v>
      </c>
      <c r="O43" s="3" t="s">
        <v>294</v>
      </c>
      <c r="P43" s="4" t="s">
        <v>31</v>
      </c>
      <c r="Q43" s="7" t="s">
        <v>324</v>
      </c>
      <c r="R43" s="14" t="s">
        <v>321</v>
      </c>
      <c r="S43" s="41" t="s">
        <v>473</v>
      </c>
      <c r="T43" s="19" t="s">
        <v>695</v>
      </c>
      <c r="U43" s="19" t="s">
        <v>696</v>
      </c>
      <c r="V43" s="19" t="s">
        <v>697</v>
      </c>
      <c r="W43" s="33" t="s">
        <v>1112</v>
      </c>
      <c r="X43" s="29" t="s">
        <v>1113</v>
      </c>
      <c r="Y43" s="29" t="s">
        <v>1114</v>
      </c>
      <c r="Z43" s="29" t="s">
        <v>1115</v>
      </c>
      <c r="AI43" s="33" t="s">
        <v>1116</v>
      </c>
      <c r="AJ43" s="29" t="s">
        <v>321</v>
      </c>
      <c r="AK43" s="29" t="s">
        <v>1117</v>
      </c>
      <c r="AL43" s="29" t="s">
        <v>1143</v>
      </c>
      <c r="AM43" s="29" t="s">
        <v>1093</v>
      </c>
    </row>
    <row r="44" spans="1:39" ht="72" hidden="1" customHeight="1">
      <c r="A44" s="3" t="s">
        <v>485</v>
      </c>
      <c r="B44" s="35" t="s">
        <v>97</v>
      </c>
      <c r="C44" s="36" t="s">
        <v>322</v>
      </c>
      <c r="D44" s="4" t="s">
        <v>286</v>
      </c>
      <c r="E44" s="4" t="s">
        <v>315</v>
      </c>
      <c r="F44" s="4" t="s">
        <v>288</v>
      </c>
      <c r="G44" s="4" t="s">
        <v>316</v>
      </c>
      <c r="H44" s="4" t="s">
        <v>317</v>
      </c>
      <c r="I44" s="4" t="s">
        <v>291</v>
      </c>
      <c r="J44" s="5">
        <v>1</v>
      </c>
      <c r="K44" s="4" t="s">
        <v>292</v>
      </c>
      <c r="L44" s="4" t="s">
        <v>318</v>
      </c>
      <c r="M44" s="6" t="str">
        <f>HYPERLINK("file:///C:/Users/paola/Tesis/04_Bibliography/01_Fenología%20y%20umbrales/Otros%20de%20fenología/42_SOYA_INUNDACION_DURACION_FASE_Shen_2023.pdf","Abrir PDF local")</f>
        <v>Abrir PDF local</v>
      </c>
      <c r="N44" s="6" t="str">
        <f>HYPERLINK("https://doi.org/10.3390/su15010738","Abrir fuente en línea")</f>
        <v>Abrir fuente en línea</v>
      </c>
      <c r="O44" s="3" t="s">
        <v>319</v>
      </c>
      <c r="P44" s="4" t="s">
        <v>31</v>
      </c>
      <c r="Q44" s="7" t="s">
        <v>325</v>
      </c>
      <c r="R44" s="14" t="s">
        <v>321</v>
      </c>
      <c r="S44" s="41" t="s">
        <v>473</v>
      </c>
      <c r="T44" s="19" t="s">
        <v>695</v>
      </c>
      <c r="U44" s="19" t="s">
        <v>701</v>
      </c>
      <c r="V44" s="19" t="s">
        <v>668</v>
      </c>
      <c r="W44" s="33" t="s">
        <v>1112</v>
      </c>
      <c r="X44" s="29" t="s">
        <v>1113</v>
      </c>
      <c r="Y44" s="29" t="s">
        <v>1114</v>
      </c>
      <c r="Z44" s="29" t="s">
        <v>1115</v>
      </c>
      <c r="AI44" s="33" t="s">
        <v>1116</v>
      </c>
      <c r="AJ44" s="29" t="s">
        <v>321</v>
      </c>
      <c r="AK44" s="29" t="s">
        <v>1117</v>
      </c>
      <c r="AL44" s="29" t="s">
        <v>1143</v>
      </c>
      <c r="AM44" s="29" t="s">
        <v>1093</v>
      </c>
    </row>
    <row r="45" spans="1:39" ht="72" hidden="1" customHeight="1">
      <c r="A45" s="3" t="s">
        <v>485</v>
      </c>
      <c r="B45" s="3" t="s">
        <v>326</v>
      </c>
      <c r="C45" s="4" t="s">
        <v>327</v>
      </c>
      <c r="D45" s="4" t="s">
        <v>102</v>
      </c>
      <c r="E45" s="4" t="s">
        <v>266</v>
      </c>
      <c r="F45" s="4" t="s">
        <v>267</v>
      </c>
      <c r="G45" s="4" t="s">
        <v>268</v>
      </c>
      <c r="H45" s="4" t="s">
        <v>269</v>
      </c>
      <c r="I45" s="4" t="s">
        <v>270</v>
      </c>
      <c r="J45" s="5">
        <v>1</v>
      </c>
      <c r="K45" s="4" t="s">
        <v>271</v>
      </c>
      <c r="L45" s="4" t="s">
        <v>272</v>
      </c>
      <c r="M45" s="6" t="str">
        <f>HYPERLINK("file:///C:/Users/paola/Tesis/04_Bibliography/01_Fenología%20y%20umbrales/16_MULTI_CALOR_MADURACION_Consistent_negative_response_of_US_crops_to_high_temper.pdf","Abrir PDF local")</f>
        <v>Abrir PDF local</v>
      </c>
      <c r="N45" s="6" t="str">
        <f>HYPERLINK("https://doi.org/10.1038/ncomms13931","Abrir fuente en línea")</f>
        <v>Abrir fuente en línea</v>
      </c>
      <c r="O45" s="3" t="s">
        <v>273</v>
      </c>
      <c r="P45" s="4" t="s">
        <v>31</v>
      </c>
      <c r="Q45" s="8" t="s">
        <v>328</v>
      </c>
      <c r="R45" s="4" t="s">
        <v>299</v>
      </c>
      <c r="S45" s="41" t="s">
        <v>473</v>
      </c>
      <c r="T45" s="19" t="s">
        <v>1548</v>
      </c>
      <c r="U45" s="19" t="s">
        <v>693</v>
      </c>
      <c r="V45" s="19" t="s">
        <v>681</v>
      </c>
      <c r="W45" s="32" t="s">
        <v>1549</v>
      </c>
      <c r="X45" s="29" t="s">
        <v>1550</v>
      </c>
      <c r="Y45" s="29" t="s">
        <v>1551</v>
      </c>
      <c r="Z45" s="29" t="s">
        <v>1552</v>
      </c>
      <c r="AI45" s="31" t="s">
        <v>1133</v>
      </c>
      <c r="AJ45" s="29" t="s">
        <v>1144</v>
      </c>
      <c r="AK45" s="29" t="s">
        <v>1135</v>
      </c>
      <c r="AL45" s="29" t="s">
        <v>1143</v>
      </c>
      <c r="AM45" s="29" t="s">
        <v>1144</v>
      </c>
    </row>
    <row r="46" spans="1:39" ht="80" hidden="1" customHeight="1">
      <c r="A46" s="3" t="s">
        <v>485</v>
      </c>
      <c r="B46" s="35" t="s">
        <v>326</v>
      </c>
      <c r="C46" s="36" t="s">
        <v>327</v>
      </c>
      <c r="D46" s="4" t="s">
        <v>286</v>
      </c>
      <c r="E46" s="4" t="s">
        <v>287</v>
      </c>
      <c r="F46" s="4" t="s">
        <v>288</v>
      </c>
      <c r="G46" s="4" t="s">
        <v>289</v>
      </c>
      <c r="H46" s="4" t="s">
        <v>290</v>
      </c>
      <c r="I46" s="4" t="s">
        <v>291</v>
      </c>
      <c r="J46" s="5">
        <v>1</v>
      </c>
      <c r="K46" s="4" t="s">
        <v>292</v>
      </c>
      <c r="L46" s="4" t="s">
        <v>293</v>
      </c>
      <c r="M46" s="6" t="str">
        <f>HYPERLINK("file:///C:/Users/paola/Tesis/04_Bibliography/01_Fenología%20y%20umbrales/Otros%20de%20fenología/42_SOYA_INUNDACION_DURACION_FASE_Shen_2023.pdf","Abrir PDF local")</f>
        <v>Abrir PDF local</v>
      </c>
      <c r="N46" s="6" t="str">
        <f>HYPERLINK("https://doi.org/10.3390/su15010738","Abrir fuente en línea")</f>
        <v>Abrir fuente en línea</v>
      </c>
      <c r="O46" s="3" t="s">
        <v>294</v>
      </c>
      <c r="P46" s="4" t="s">
        <v>31</v>
      </c>
      <c r="Q46" s="7" t="s">
        <v>329</v>
      </c>
      <c r="R46" s="14" t="s">
        <v>321</v>
      </c>
      <c r="S46" s="41" t="s">
        <v>473</v>
      </c>
      <c r="T46" s="19" t="s">
        <v>695</v>
      </c>
      <c r="U46" s="19" t="s">
        <v>696</v>
      </c>
      <c r="V46" s="19" t="s">
        <v>697</v>
      </c>
      <c r="W46" s="33" t="s">
        <v>1112</v>
      </c>
      <c r="X46" s="29" t="s">
        <v>1113</v>
      </c>
      <c r="Y46" s="29" t="s">
        <v>1114</v>
      </c>
      <c r="Z46" s="29" t="s">
        <v>1115</v>
      </c>
      <c r="AI46" s="33" t="s">
        <v>1116</v>
      </c>
      <c r="AJ46" s="29" t="s">
        <v>321</v>
      </c>
      <c r="AK46" s="29" t="s">
        <v>1117</v>
      </c>
      <c r="AL46" s="29" t="s">
        <v>1143</v>
      </c>
      <c r="AM46" s="29" t="s">
        <v>1093</v>
      </c>
    </row>
    <row r="47" spans="1:39" ht="72" hidden="1" customHeight="1">
      <c r="A47" s="3" t="s">
        <v>485</v>
      </c>
      <c r="B47" s="35" t="s">
        <v>326</v>
      </c>
      <c r="C47" s="36" t="s">
        <v>327</v>
      </c>
      <c r="D47" s="4" t="s">
        <v>286</v>
      </c>
      <c r="E47" s="4" t="s">
        <v>315</v>
      </c>
      <c r="F47" s="4" t="s">
        <v>288</v>
      </c>
      <c r="G47" s="4" t="s">
        <v>316</v>
      </c>
      <c r="H47" s="4" t="s">
        <v>317</v>
      </c>
      <c r="I47" s="4" t="s">
        <v>291</v>
      </c>
      <c r="J47" s="5">
        <v>1</v>
      </c>
      <c r="K47" s="4" t="s">
        <v>292</v>
      </c>
      <c r="L47" s="4" t="s">
        <v>318</v>
      </c>
      <c r="M47" s="6" t="str">
        <f>HYPERLINK("file:///C:/Users/paola/Tesis/04_Bibliography/01_Fenología%20y%20umbrales/Otros%20de%20fenología/42_SOYA_INUNDACION_DURACION_FASE_Shen_2023.pdf","Abrir PDF local")</f>
        <v>Abrir PDF local</v>
      </c>
      <c r="N47" s="6" t="str">
        <f>HYPERLINK("https://doi.org/10.3390/su15010738","Abrir fuente en línea")</f>
        <v>Abrir fuente en línea</v>
      </c>
      <c r="O47" s="3" t="s">
        <v>319</v>
      </c>
      <c r="P47" s="4" t="s">
        <v>31</v>
      </c>
      <c r="Q47" s="7" t="s">
        <v>330</v>
      </c>
      <c r="R47" s="14" t="s">
        <v>321</v>
      </c>
      <c r="S47" s="41" t="s">
        <v>473</v>
      </c>
      <c r="T47" s="19" t="s">
        <v>695</v>
      </c>
      <c r="U47" s="19" t="s">
        <v>701</v>
      </c>
      <c r="V47" s="19" t="s">
        <v>668</v>
      </c>
      <c r="W47" s="33" t="s">
        <v>1112</v>
      </c>
      <c r="X47" s="29" t="s">
        <v>1113</v>
      </c>
      <c r="Y47" s="29" t="s">
        <v>1114</v>
      </c>
      <c r="Z47" s="29" t="s">
        <v>1115</v>
      </c>
      <c r="AI47" s="33" t="s">
        <v>1116</v>
      </c>
      <c r="AJ47" s="29" t="s">
        <v>321</v>
      </c>
      <c r="AK47" s="29" t="s">
        <v>1117</v>
      </c>
      <c r="AL47" s="29" t="s">
        <v>1143</v>
      </c>
      <c r="AM47" s="29" t="s">
        <v>1093</v>
      </c>
    </row>
    <row r="48" spans="1:39" ht="72" hidden="1" customHeight="1">
      <c r="A48" s="3" t="s">
        <v>485</v>
      </c>
      <c r="B48" s="3" t="s">
        <v>331</v>
      </c>
      <c r="C48" s="4" t="s">
        <v>332</v>
      </c>
      <c r="D48" s="4" t="s">
        <v>102</v>
      </c>
      <c r="E48" s="4" t="s">
        <v>266</v>
      </c>
      <c r="F48" s="4" t="s">
        <v>267</v>
      </c>
      <c r="G48" s="4" t="s">
        <v>268</v>
      </c>
      <c r="H48" s="4" t="s">
        <v>269</v>
      </c>
      <c r="I48" s="4" t="s">
        <v>270</v>
      </c>
      <c r="J48" s="5">
        <v>1</v>
      </c>
      <c r="K48" s="4" t="s">
        <v>271</v>
      </c>
      <c r="L48" s="4" t="s">
        <v>272</v>
      </c>
      <c r="M48" s="6" t="str">
        <f>HYPERLINK("file:///C:/Users/paola/Tesis/04_Bibliography/01_Fenología%20y%20umbrales/16_MULTI_CALOR_MADURACION_Consistent_negative_response_of_US_crops_to_high_temper.pdf","Abrir PDF local")</f>
        <v>Abrir PDF local</v>
      </c>
      <c r="N48" s="6" t="str">
        <f>HYPERLINK("https://doi.org/10.1038/ncomms13931","Abrir fuente en línea")</f>
        <v>Abrir fuente en línea</v>
      </c>
      <c r="O48" s="3" t="s">
        <v>273</v>
      </c>
      <c r="P48" s="4" t="s">
        <v>31</v>
      </c>
      <c r="Q48" s="7" t="s">
        <v>333</v>
      </c>
      <c r="R48" s="4" t="s">
        <v>299</v>
      </c>
      <c r="S48" s="41" t="s">
        <v>476</v>
      </c>
      <c r="T48" s="19" t="s">
        <v>1548</v>
      </c>
      <c r="U48" s="19" t="s">
        <v>693</v>
      </c>
      <c r="V48" s="19" t="s">
        <v>681</v>
      </c>
      <c r="W48" s="32" t="s">
        <v>1549</v>
      </c>
      <c r="X48" s="29" t="s">
        <v>1550</v>
      </c>
      <c r="Y48" s="29" t="s">
        <v>1551</v>
      </c>
      <c r="Z48" s="29" t="s">
        <v>1552</v>
      </c>
      <c r="AI48" s="31" t="s">
        <v>1133</v>
      </c>
      <c r="AJ48" s="29" t="s">
        <v>299</v>
      </c>
      <c r="AK48" s="29" t="s">
        <v>1135</v>
      </c>
      <c r="AL48" s="29" t="s">
        <v>1145</v>
      </c>
      <c r="AM48" s="29" t="s">
        <v>1093</v>
      </c>
    </row>
    <row r="49" spans="1:39" ht="94" hidden="1" customHeight="1">
      <c r="A49" s="3" t="s">
        <v>485</v>
      </c>
      <c r="B49" s="3" t="s">
        <v>331</v>
      </c>
      <c r="C49" s="4" t="s">
        <v>332</v>
      </c>
      <c r="D49" s="4" t="s">
        <v>334</v>
      </c>
      <c r="E49" s="4" t="s">
        <v>335</v>
      </c>
      <c r="F49" s="4" t="s">
        <v>336</v>
      </c>
      <c r="G49" s="4" t="s">
        <v>337</v>
      </c>
      <c r="H49" s="4" t="s">
        <v>338</v>
      </c>
      <c r="I49" s="4" t="s">
        <v>339</v>
      </c>
      <c r="J49" s="5">
        <v>3</v>
      </c>
      <c r="K49" s="4" t="s">
        <v>340</v>
      </c>
      <c r="L49" s="4" t="s">
        <v>341</v>
      </c>
      <c r="M49" s="6" t="str">
        <f>HYPERLINK("file:///C:/Users/paola/Tesis/04_Bibliography/01_Fenología%20y%20umbrales/Otros%20de%20fenología/39_PAPER_PMC9987466_VERIFICAR_TITULO.pdf","Abrir PDF local")</f>
        <v>Abrir PDF local</v>
      </c>
      <c r="N49" s="6" t="str">
        <f>HYPERLINK("https://doi.org/10.3389/fpls.2023.1099621","Abrir fuente en línea")</f>
        <v>Abrir fuente en línea</v>
      </c>
      <c r="O49" s="3" t="s">
        <v>342</v>
      </c>
      <c r="P49" s="4" t="s">
        <v>31</v>
      </c>
      <c r="Q49" s="7" t="s">
        <v>343</v>
      </c>
      <c r="R49" s="14" t="s">
        <v>96</v>
      </c>
      <c r="S49" s="41" t="s">
        <v>476</v>
      </c>
      <c r="T49" s="19" t="s">
        <v>1516</v>
      </c>
      <c r="U49" s="19" t="s">
        <v>671</v>
      </c>
      <c r="V49" s="19" t="s">
        <v>702</v>
      </c>
      <c r="W49" s="32" t="s">
        <v>1517</v>
      </c>
      <c r="X49" s="29" t="s">
        <v>1512</v>
      </c>
      <c r="Y49" s="29" t="s">
        <v>1518</v>
      </c>
      <c r="Z49" s="29" t="s">
        <v>1519</v>
      </c>
      <c r="AI49" s="31" t="s">
        <v>1101</v>
      </c>
      <c r="AJ49" s="29" t="s">
        <v>96</v>
      </c>
      <c r="AK49" s="29" t="s">
        <v>1102</v>
      </c>
      <c r="AL49" s="29" t="s">
        <v>1145</v>
      </c>
      <c r="AM49" s="29" t="s">
        <v>1093</v>
      </c>
    </row>
    <row r="50" spans="1:39" ht="80" hidden="1" customHeight="1">
      <c r="A50" s="3" t="s">
        <v>485</v>
      </c>
      <c r="B50" s="35" t="s">
        <v>331</v>
      </c>
      <c r="C50" s="36" t="s">
        <v>332</v>
      </c>
      <c r="D50" s="4" t="s">
        <v>286</v>
      </c>
      <c r="E50" s="4" t="s">
        <v>315</v>
      </c>
      <c r="F50" s="4" t="s">
        <v>288</v>
      </c>
      <c r="G50" s="4" t="s">
        <v>316</v>
      </c>
      <c r="H50" s="4" t="s">
        <v>317</v>
      </c>
      <c r="I50" s="4" t="s">
        <v>291</v>
      </c>
      <c r="J50" s="5">
        <v>1</v>
      </c>
      <c r="K50" s="4" t="s">
        <v>292</v>
      </c>
      <c r="L50" s="4" t="s">
        <v>318</v>
      </c>
      <c r="M50" s="6" t="str">
        <f>HYPERLINK("file:///C:/Users/paola/Tesis/04_Bibliography/01_Fenología%20y%20umbrales/Otros%20de%20fenología/42_SOYA_INUNDACION_DURACION_FASE_Shen_2023.pdf","Abrir PDF local")</f>
        <v>Abrir PDF local</v>
      </c>
      <c r="N50" s="6" t="str">
        <f>HYPERLINK("https://doi.org/10.3390/su15010738","Abrir fuente en línea")</f>
        <v>Abrir fuente en línea</v>
      </c>
      <c r="O50" s="3" t="s">
        <v>319</v>
      </c>
      <c r="P50" s="4" t="s">
        <v>31</v>
      </c>
      <c r="Q50" s="8" t="s">
        <v>344</v>
      </c>
      <c r="R50" s="14" t="s">
        <v>321</v>
      </c>
      <c r="S50" s="41" t="s">
        <v>476</v>
      </c>
      <c r="T50" s="19" t="s">
        <v>695</v>
      </c>
      <c r="U50" s="19" t="s">
        <v>701</v>
      </c>
      <c r="V50" s="19" t="s">
        <v>668</v>
      </c>
      <c r="W50" s="33" t="s">
        <v>1112</v>
      </c>
      <c r="X50" s="29" t="s">
        <v>1113</v>
      </c>
      <c r="Y50" s="29" t="s">
        <v>1114</v>
      </c>
      <c r="Z50" s="29" t="s">
        <v>1115</v>
      </c>
      <c r="AI50" s="33" t="s">
        <v>1116</v>
      </c>
      <c r="AJ50" s="29" t="s">
        <v>1146</v>
      </c>
      <c r="AK50" s="29" t="s">
        <v>1117</v>
      </c>
      <c r="AL50" s="29" t="s">
        <v>1145</v>
      </c>
      <c r="AM50" s="29" t="s">
        <v>1146</v>
      </c>
    </row>
    <row r="51" spans="1:39" ht="108" hidden="1" customHeight="1">
      <c r="A51" s="3" t="s">
        <v>485</v>
      </c>
      <c r="B51" s="3" t="s">
        <v>345</v>
      </c>
      <c r="C51" s="4" t="s">
        <v>346</v>
      </c>
      <c r="D51" s="4" t="s">
        <v>102</v>
      </c>
      <c r="E51" s="4" t="s">
        <v>266</v>
      </c>
      <c r="F51" s="4" t="s">
        <v>267</v>
      </c>
      <c r="G51" s="4" t="s">
        <v>268</v>
      </c>
      <c r="H51" s="4" t="s">
        <v>269</v>
      </c>
      <c r="I51" s="4" t="s">
        <v>270</v>
      </c>
      <c r="J51" s="5">
        <v>1</v>
      </c>
      <c r="K51" s="4" t="s">
        <v>271</v>
      </c>
      <c r="L51" s="4" t="s">
        <v>272</v>
      </c>
      <c r="M51" s="6" t="str">
        <f>HYPERLINK("file:///C:/Users/paola/Tesis/04_Bibliography/01_Fenología%20y%20umbrales/16_MULTI_CALOR_MADURACION_Consistent_negative_response_of_US_crops_to_high_temper.pdf","Abrir PDF local")</f>
        <v>Abrir PDF local</v>
      </c>
      <c r="N51" s="6" t="str">
        <f>HYPERLINK("https://doi.org/10.1038/ncomms13931","Abrir fuente en línea")</f>
        <v>Abrir fuente en línea</v>
      </c>
      <c r="O51" s="3" t="s">
        <v>273</v>
      </c>
      <c r="P51" s="4" t="s">
        <v>31</v>
      </c>
      <c r="Q51" s="8" t="s">
        <v>347</v>
      </c>
      <c r="R51" s="4" t="s">
        <v>299</v>
      </c>
      <c r="S51" s="41" t="s">
        <v>476</v>
      </c>
      <c r="T51" s="19" t="s">
        <v>1548</v>
      </c>
      <c r="U51" s="19" t="s">
        <v>693</v>
      </c>
      <c r="V51" s="19" t="s">
        <v>681</v>
      </c>
      <c r="W51" s="32" t="s">
        <v>1549</v>
      </c>
      <c r="X51" s="29" t="s">
        <v>1550</v>
      </c>
      <c r="Y51" s="29" t="s">
        <v>1551</v>
      </c>
      <c r="Z51" s="29" t="s">
        <v>1552</v>
      </c>
      <c r="AI51" s="31" t="s">
        <v>1133</v>
      </c>
      <c r="AJ51" s="29" t="s">
        <v>1558</v>
      </c>
      <c r="AK51" s="29" t="s">
        <v>1135</v>
      </c>
      <c r="AL51" s="29" t="s">
        <v>1148</v>
      </c>
      <c r="AM51" s="29" t="s">
        <v>1147</v>
      </c>
    </row>
    <row r="52" spans="1:39" ht="136" hidden="1" customHeight="1">
      <c r="A52" s="3" t="s">
        <v>485</v>
      </c>
      <c r="B52" s="3" t="s">
        <v>345</v>
      </c>
      <c r="C52" s="4" t="s">
        <v>346</v>
      </c>
      <c r="D52" s="4" t="s">
        <v>334</v>
      </c>
      <c r="E52" s="4" t="s">
        <v>335</v>
      </c>
      <c r="F52" s="4" t="s">
        <v>336</v>
      </c>
      <c r="G52" s="4" t="s">
        <v>337</v>
      </c>
      <c r="H52" s="4" t="s">
        <v>338</v>
      </c>
      <c r="I52" s="4" t="s">
        <v>339</v>
      </c>
      <c r="J52" s="5">
        <v>3</v>
      </c>
      <c r="K52" s="4" t="s">
        <v>340</v>
      </c>
      <c r="L52" s="4" t="s">
        <v>341</v>
      </c>
      <c r="M52" s="6" t="str">
        <f>HYPERLINK("file:///C:/Users/paola/Tesis/04_Bibliography/01_Fenología%20y%20umbrales/Otros%20de%20fenología/39_PAPER_PMC9987466_VERIFICAR_TITULO.pdf","Abrir PDF local")</f>
        <v>Abrir PDF local</v>
      </c>
      <c r="N52" s="6" t="str">
        <f>HYPERLINK("https://doi.org/10.3389/fpls.2023.1099621","Abrir fuente en línea")</f>
        <v>Abrir fuente en línea</v>
      </c>
      <c r="O52" s="3" t="s">
        <v>342</v>
      </c>
      <c r="P52" s="4" t="s">
        <v>31</v>
      </c>
      <c r="Q52" s="7" t="s">
        <v>348</v>
      </c>
      <c r="R52" s="14" t="s">
        <v>349</v>
      </c>
      <c r="S52" s="41" t="s">
        <v>476</v>
      </c>
      <c r="T52" s="19" t="s">
        <v>1516</v>
      </c>
      <c r="U52" s="19" t="s">
        <v>671</v>
      </c>
      <c r="V52" s="19" t="s">
        <v>702</v>
      </c>
      <c r="W52" s="32" t="s">
        <v>1517</v>
      </c>
      <c r="X52" s="29" t="s">
        <v>1512</v>
      </c>
      <c r="Y52" s="29" t="s">
        <v>1518</v>
      </c>
      <c r="Z52" s="29" t="s">
        <v>1519</v>
      </c>
      <c r="AI52" s="31" t="s">
        <v>1101</v>
      </c>
      <c r="AJ52" s="29" t="s">
        <v>1559</v>
      </c>
      <c r="AK52" s="29" t="s">
        <v>1102</v>
      </c>
      <c r="AL52" s="29" t="s">
        <v>1148</v>
      </c>
      <c r="AM52" s="29" t="s">
        <v>1093</v>
      </c>
    </row>
    <row r="53" spans="1:39" ht="72" hidden="1" customHeight="1">
      <c r="A53" s="3" t="s">
        <v>485</v>
      </c>
      <c r="B53" s="3" t="s">
        <v>350</v>
      </c>
      <c r="C53" s="4" t="s">
        <v>351</v>
      </c>
      <c r="D53" s="4" t="s">
        <v>102</v>
      </c>
      <c r="E53" s="4" t="s">
        <v>266</v>
      </c>
      <c r="F53" s="4" t="s">
        <v>267</v>
      </c>
      <c r="G53" s="4" t="s">
        <v>268</v>
      </c>
      <c r="H53" s="4" t="s">
        <v>269</v>
      </c>
      <c r="I53" s="4" t="s">
        <v>270</v>
      </c>
      <c r="J53" s="5">
        <v>1</v>
      </c>
      <c r="K53" s="4" t="s">
        <v>271</v>
      </c>
      <c r="L53" s="4" t="s">
        <v>272</v>
      </c>
      <c r="M53" s="6" t="str">
        <f>HYPERLINK("file:///C:/Users/paola/Tesis/04_Bibliography/01_Fenología%20y%20umbrales/16_MULTI_CALOR_MADURACION_Consistent_negative_response_of_US_crops_to_high_temper.pdf","Abrir PDF local")</f>
        <v>Abrir PDF local</v>
      </c>
      <c r="N53" s="6" t="str">
        <f>HYPERLINK("https://doi.org/10.1038/ncomms13931","Abrir fuente en línea")</f>
        <v>Abrir fuente en línea</v>
      </c>
      <c r="O53" s="3" t="s">
        <v>273</v>
      </c>
      <c r="P53" s="4" t="s">
        <v>31</v>
      </c>
      <c r="Q53" s="8" t="s">
        <v>352</v>
      </c>
      <c r="R53" s="4" t="s">
        <v>299</v>
      </c>
      <c r="S53" s="41" t="s">
        <v>479</v>
      </c>
      <c r="T53" s="19" t="s">
        <v>1548</v>
      </c>
      <c r="U53" s="19" t="s">
        <v>693</v>
      </c>
      <c r="V53" s="19" t="s">
        <v>681</v>
      </c>
      <c r="W53" s="32" t="s">
        <v>1549</v>
      </c>
      <c r="X53" s="29" t="s">
        <v>1550</v>
      </c>
      <c r="Y53" s="29" t="s">
        <v>1551</v>
      </c>
      <c r="Z53" s="29" t="s">
        <v>1552</v>
      </c>
      <c r="AI53" s="31" t="s">
        <v>1133</v>
      </c>
      <c r="AJ53" s="29" t="s">
        <v>1149</v>
      </c>
      <c r="AK53" s="29" t="s">
        <v>1135</v>
      </c>
      <c r="AL53" s="29" t="s">
        <v>1150</v>
      </c>
      <c r="AM53" s="29" t="s">
        <v>1149</v>
      </c>
    </row>
    <row r="54" spans="1:39" ht="72" hidden="1" customHeight="1">
      <c r="A54" s="3" t="s">
        <v>486</v>
      </c>
      <c r="B54" s="3" t="s">
        <v>353</v>
      </c>
      <c r="C54" s="4" t="s">
        <v>21</v>
      </c>
      <c r="D54" s="4" t="s">
        <v>102</v>
      </c>
      <c r="E54" s="4" t="s">
        <v>354</v>
      </c>
      <c r="F54" s="4" t="s">
        <v>355</v>
      </c>
      <c r="G54" s="4" t="s">
        <v>356</v>
      </c>
      <c r="H54" s="4" t="s">
        <v>170</v>
      </c>
      <c r="I54" s="4" t="s">
        <v>357</v>
      </c>
      <c r="J54" s="5">
        <v>5</v>
      </c>
      <c r="K54" s="4" t="s">
        <v>358</v>
      </c>
      <c r="L54" s="4" t="s">
        <v>359</v>
      </c>
      <c r="M54" s="6" t="str">
        <f>HYPERLINK("file:///C:/Users/paola/Tesis/04_Bibliography/01_Fenología%20y%20umbrales/02_TRIGO_MULTI_MULTI_Heat_stress_effects_and_management_in_wheat_A_review.pdf","Abrir PDF local")</f>
        <v>Abrir PDF local</v>
      </c>
      <c r="N54" s="6" t="str">
        <f>HYPERLINK("https://doi.org/10.1007/s13593-017-0443-9","Abrir fuente en línea")</f>
        <v>Abrir fuente en línea</v>
      </c>
      <c r="O54" s="3" t="s">
        <v>360</v>
      </c>
      <c r="P54" s="4" t="s">
        <v>31</v>
      </c>
      <c r="Q54" s="7" t="s">
        <v>361</v>
      </c>
      <c r="R54" s="14" t="s">
        <v>362</v>
      </c>
      <c r="S54" s="41" t="s">
        <v>465</v>
      </c>
      <c r="T54" s="19" t="s">
        <v>1531</v>
      </c>
      <c r="U54" s="19" t="s">
        <v>703</v>
      </c>
      <c r="V54" s="19" t="s">
        <v>676</v>
      </c>
      <c r="W54" s="32" t="s">
        <v>1532</v>
      </c>
      <c r="X54" s="29" t="s">
        <v>1533</v>
      </c>
      <c r="Y54" s="29" t="s">
        <v>1534</v>
      </c>
      <c r="Z54" s="29" t="s">
        <v>1535</v>
      </c>
      <c r="AI54" s="31" t="s">
        <v>1101</v>
      </c>
      <c r="AJ54" s="29" t="s">
        <v>1151</v>
      </c>
      <c r="AK54" s="29" t="s">
        <v>1102</v>
      </c>
      <c r="AL54" s="29" t="s">
        <v>1152</v>
      </c>
      <c r="AM54" s="29" t="s">
        <v>1151</v>
      </c>
    </row>
    <row r="55" spans="1:39" ht="72" hidden="1" customHeight="1">
      <c r="A55" s="3" t="s">
        <v>486</v>
      </c>
      <c r="B55" s="3" t="s">
        <v>363</v>
      </c>
      <c r="C55" s="4" t="s">
        <v>364</v>
      </c>
      <c r="D55" s="4" t="s">
        <v>102</v>
      </c>
      <c r="E55" s="4" t="s">
        <v>354</v>
      </c>
      <c r="F55" s="4" t="s">
        <v>355</v>
      </c>
      <c r="G55" s="4" t="s">
        <v>356</v>
      </c>
      <c r="H55" s="4" t="s">
        <v>170</v>
      </c>
      <c r="I55" s="4" t="s">
        <v>357</v>
      </c>
      <c r="J55" s="5">
        <v>5</v>
      </c>
      <c r="K55" s="4" t="s">
        <v>358</v>
      </c>
      <c r="L55" s="4" t="s">
        <v>359</v>
      </c>
      <c r="M55" s="6" t="str">
        <f>HYPERLINK("file:///C:/Users/paola/Tesis/04_Bibliography/01_Fenología%20y%20umbrales/02_TRIGO_MULTI_MULTI_Heat_stress_effects_and_management_in_wheat_A_review.pdf","Abrir PDF local")</f>
        <v>Abrir PDF local</v>
      </c>
      <c r="N55" s="6" t="str">
        <f>HYPERLINK("https://doi.org/10.1007/s13593-017-0443-9","Abrir fuente en línea")</f>
        <v>Abrir fuente en línea</v>
      </c>
      <c r="O55" s="3" t="s">
        <v>360</v>
      </c>
      <c r="P55" s="4" t="s">
        <v>31</v>
      </c>
      <c r="Q55" s="8" t="s">
        <v>365</v>
      </c>
      <c r="R55" s="14" t="s">
        <v>362</v>
      </c>
      <c r="S55" s="41" t="s">
        <v>468</v>
      </c>
      <c r="T55" s="19" t="s">
        <v>1531</v>
      </c>
      <c r="U55" s="19" t="s">
        <v>703</v>
      </c>
      <c r="V55" s="19" t="s">
        <v>676</v>
      </c>
      <c r="W55" s="32" t="s">
        <v>1532</v>
      </c>
      <c r="X55" s="29" t="s">
        <v>1533</v>
      </c>
      <c r="Y55" s="29" t="s">
        <v>1534</v>
      </c>
      <c r="Z55" s="29" t="s">
        <v>1535</v>
      </c>
      <c r="AI55" s="31" t="s">
        <v>1101</v>
      </c>
      <c r="AJ55" s="29" t="s">
        <v>1153</v>
      </c>
      <c r="AK55" s="29" t="s">
        <v>1102</v>
      </c>
      <c r="AL55" s="29" t="s">
        <v>1154</v>
      </c>
      <c r="AM55" s="29" t="s">
        <v>1153</v>
      </c>
    </row>
    <row r="56" spans="1:39" ht="108" hidden="1" customHeight="1">
      <c r="A56" s="3" t="s">
        <v>486</v>
      </c>
      <c r="B56" s="35" t="s">
        <v>366</v>
      </c>
      <c r="C56" s="36" t="s">
        <v>367</v>
      </c>
      <c r="D56" s="4" t="s">
        <v>368</v>
      </c>
      <c r="E56" s="4" t="s">
        <v>369</v>
      </c>
      <c r="F56" s="4" t="s">
        <v>53</v>
      </c>
      <c r="G56" s="4" t="s">
        <v>370</v>
      </c>
      <c r="H56" s="4" t="s">
        <v>371</v>
      </c>
      <c r="I56" s="4" t="s">
        <v>372</v>
      </c>
      <c r="J56" s="5">
        <v>15</v>
      </c>
      <c r="K56" s="4" t="s">
        <v>373</v>
      </c>
      <c r="L56" s="4" t="s">
        <v>374</v>
      </c>
      <c r="M56" s="6" t="str">
        <f>HYPERLINK("file:///C:/Users/paola/Tesis/04_Bibliography/01_FenologÃ­a%20y%20umbrales/Otros%20de%20fenologÃ­a/66_PMC9921141.pdf","Abrir PDF local")</f>
        <v>Abrir PDF local</v>
      </c>
      <c r="N56" s="6" t="str">
        <f>HYPERLINK("https://europepmc.org/articles/PMC9921141","Abrir fuente en línea")</f>
        <v>Abrir fuente en línea</v>
      </c>
      <c r="O56" s="3" t="s">
        <v>375</v>
      </c>
      <c r="P56" s="4" t="s">
        <v>31</v>
      </c>
      <c r="Q56" s="7" t="s">
        <v>376</v>
      </c>
      <c r="R56" s="14" t="s">
        <v>48</v>
      </c>
      <c r="S56" s="41" t="s">
        <v>468</v>
      </c>
      <c r="T56" s="19" t="s">
        <v>704</v>
      </c>
      <c r="U56" s="19" t="s">
        <v>705</v>
      </c>
      <c r="V56" s="19" t="s">
        <v>706</v>
      </c>
      <c r="W56" s="31" t="s">
        <v>1094</v>
      </c>
      <c r="X56" s="29" t="s">
        <v>1095</v>
      </c>
      <c r="Y56" s="29" t="s">
        <v>1096</v>
      </c>
      <c r="Z56" s="29" t="s">
        <v>1097</v>
      </c>
      <c r="AI56" s="31" t="s">
        <v>1098</v>
      </c>
      <c r="AJ56" s="29" t="s">
        <v>48</v>
      </c>
      <c r="AK56" s="29" t="s">
        <v>1099</v>
      </c>
      <c r="AL56" s="29" t="s">
        <v>1154</v>
      </c>
      <c r="AM56" s="29" t="s">
        <v>1093</v>
      </c>
    </row>
    <row r="57" spans="1:39" ht="122" hidden="1" customHeight="1">
      <c r="A57" s="3" t="s">
        <v>486</v>
      </c>
      <c r="B57" s="3" t="s">
        <v>377</v>
      </c>
      <c r="C57" s="4" t="s">
        <v>378</v>
      </c>
      <c r="D57" s="4" t="s">
        <v>379</v>
      </c>
      <c r="E57" s="4" t="s">
        <v>380</v>
      </c>
      <c r="F57" s="4" t="s">
        <v>53</v>
      </c>
      <c r="G57" s="4" t="s">
        <v>381</v>
      </c>
      <c r="H57" s="4" t="s">
        <v>382</v>
      </c>
      <c r="I57" s="4" t="s">
        <v>383</v>
      </c>
      <c r="J57" s="5">
        <v>1</v>
      </c>
      <c r="K57" s="4" t="s">
        <v>384</v>
      </c>
      <c r="L57" s="4" t="s">
        <v>385</v>
      </c>
      <c r="M57" s="6" t="str">
        <f>HYPERLINK("file:///C:/Users/paola/Tesis/04_Bibliography/01_FenologÃ­a%20y%20umbrales/Otros%20de%20fenologÃ­a/68_PMC6482243.pdf","Abrir PDF local")</f>
        <v>Abrir PDF local</v>
      </c>
      <c r="N57" s="6" t="str">
        <f>HYPERLINK("https://europepmc.org/articles/PMC6482243","Abrir fuente en línea")</f>
        <v>Abrir fuente en línea</v>
      </c>
      <c r="O57" s="3" t="s">
        <v>386</v>
      </c>
      <c r="P57" s="4" t="s">
        <v>31</v>
      </c>
      <c r="Q57" s="7" t="s">
        <v>387</v>
      </c>
      <c r="R57" s="14" t="s">
        <v>187</v>
      </c>
      <c r="S57" s="41" t="s">
        <v>473</v>
      </c>
      <c r="T57" s="19" t="s">
        <v>1531</v>
      </c>
      <c r="U57" s="19" t="s">
        <v>707</v>
      </c>
      <c r="V57" s="19" t="s">
        <v>676</v>
      </c>
      <c r="W57" s="32" t="s">
        <v>1532</v>
      </c>
      <c r="X57" s="29" t="s">
        <v>1533</v>
      </c>
      <c r="Y57" s="29" t="s">
        <v>1534</v>
      </c>
      <c r="Z57" s="29" t="s">
        <v>1535</v>
      </c>
      <c r="AI57" s="31" t="s">
        <v>1101</v>
      </c>
      <c r="AJ57" s="29" t="s">
        <v>187</v>
      </c>
      <c r="AK57" s="29" t="s">
        <v>1102</v>
      </c>
      <c r="AL57" s="29" t="s">
        <v>1155</v>
      </c>
      <c r="AM57" s="29" t="s">
        <v>1093</v>
      </c>
    </row>
    <row r="58" spans="1:39" ht="108" hidden="1" customHeight="1">
      <c r="A58" s="3" t="s">
        <v>486</v>
      </c>
      <c r="B58" s="3" t="s">
        <v>377</v>
      </c>
      <c r="C58" s="4" t="s">
        <v>378</v>
      </c>
      <c r="D58" s="4" t="s">
        <v>388</v>
      </c>
      <c r="E58" s="4" t="s">
        <v>389</v>
      </c>
      <c r="F58" s="4" t="s">
        <v>53</v>
      </c>
      <c r="G58" s="4" t="s">
        <v>390</v>
      </c>
      <c r="H58" s="4" t="s">
        <v>391</v>
      </c>
      <c r="I58" s="4" t="s">
        <v>392</v>
      </c>
      <c r="J58" s="5">
        <v>2</v>
      </c>
      <c r="K58" s="4" t="s">
        <v>393</v>
      </c>
      <c r="L58" s="4" t="s">
        <v>394</v>
      </c>
      <c r="M58" s="6" t="str">
        <f>HYPERLINK("file:///C:/Users/paola/Tesis/04_Bibliography/01_FenologÃ­a%20y%20umbrales/Otros%20de%20fenologÃ­a/69_PMC5263156.pdf","Abrir PDF local")</f>
        <v>Abrir PDF local</v>
      </c>
      <c r="N58" s="6" t="str">
        <f>HYPERLINK("https://europepmc.org/articles/PMC5263156","Abrir fuente en línea")</f>
        <v>Abrir fuente en línea</v>
      </c>
      <c r="O58" s="3" t="s">
        <v>395</v>
      </c>
      <c r="P58" s="4" t="s">
        <v>31</v>
      </c>
      <c r="Q58" s="7" t="s">
        <v>396</v>
      </c>
      <c r="R58" s="14" t="s">
        <v>187</v>
      </c>
      <c r="S58" s="41" t="s">
        <v>473</v>
      </c>
      <c r="T58" s="19" t="s">
        <v>1505</v>
      </c>
      <c r="U58" s="19" t="s">
        <v>708</v>
      </c>
      <c r="V58" s="19" t="s">
        <v>676</v>
      </c>
      <c r="W58" s="32" t="s">
        <v>1506</v>
      </c>
      <c r="X58" s="29" t="s">
        <v>1507</v>
      </c>
      <c r="Y58" s="29" t="s">
        <v>1508</v>
      </c>
      <c r="Z58" s="29" t="s">
        <v>1509</v>
      </c>
      <c r="AI58" s="31" t="s">
        <v>1101</v>
      </c>
      <c r="AJ58" s="29" t="s">
        <v>187</v>
      </c>
      <c r="AK58" s="29" t="s">
        <v>1102</v>
      </c>
      <c r="AL58" s="29" t="s">
        <v>1155</v>
      </c>
      <c r="AM58" s="29" t="s">
        <v>1093</v>
      </c>
    </row>
    <row r="59" spans="1:39" ht="72" hidden="1" customHeight="1">
      <c r="A59" s="3" t="s">
        <v>486</v>
      </c>
      <c r="B59" s="3" t="s">
        <v>397</v>
      </c>
      <c r="C59" s="4" t="s">
        <v>398</v>
      </c>
      <c r="D59" s="4" t="s">
        <v>399</v>
      </c>
      <c r="E59" s="4" t="s">
        <v>400</v>
      </c>
      <c r="F59" s="4" t="s">
        <v>401</v>
      </c>
      <c r="G59" s="4" t="s">
        <v>402</v>
      </c>
      <c r="H59" s="4" t="s">
        <v>403</v>
      </c>
      <c r="I59" s="4" t="s">
        <v>404</v>
      </c>
      <c r="J59" s="5">
        <v>4</v>
      </c>
      <c r="K59" s="4" t="s">
        <v>405</v>
      </c>
      <c r="L59" s="4" t="s">
        <v>406</v>
      </c>
      <c r="M59" s="6" t="str">
        <f>HYPERLINK("file:///C:/Users/paola/Tesis/04_Bibliography/01_Fenología%20y%20umbrales/Otros%20de%20fenología/33_TRIGO_HELADA_POSTESPIGAMIENTO_Frederiks_2015.pdf","Abrir PDF local")</f>
        <v>Abrir PDF local</v>
      </c>
      <c r="N59" s="6" t="str">
        <f>HYPERLINK("https://doi.org/10.1093/jxb/erv161","Abrir fuente en línea")</f>
        <v>Abrir fuente en línea</v>
      </c>
      <c r="O59" s="3" t="s">
        <v>407</v>
      </c>
      <c r="P59" s="4" t="s">
        <v>31</v>
      </c>
      <c r="Q59" s="7" t="s">
        <v>408</v>
      </c>
      <c r="R59" s="14" t="s">
        <v>187</v>
      </c>
      <c r="S59" s="41" t="s">
        <v>473</v>
      </c>
      <c r="T59" s="19" t="s">
        <v>1560</v>
      </c>
      <c r="U59" s="19" t="s">
        <v>709</v>
      </c>
      <c r="V59" s="19"/>
      <c r="W59" s="32" t="s">
        <v>1561</v>
      </c>
      <c r="X59" s="29" t="s">
        <v>1562</v>
      </c>
      <c r="Y59" s="29" t="s">
        <v>1563</v>
      </c>
      <c r="Z59" s="29" t="s">
        <v>1564</v>
      </c>
      <c r="AI59" s="31" t="s">
        <v>1090</v>
      </c>
      <c r="AJ59" s="29" t="s">
        <v>187</v>
      </c>
      <c r="AK59" s="29" t="s">
        <v>1091</v>
      </c>
      <c r="AL59" s="29" t="s">
        <v>1155</v>
      </c>
      <c r="AM59" s="29" t="s">
        <v>1093</v>
      </c>
    </row>
    <row r="60" spans="1:39" ht="108" hidden="1" customHeight="1">
      <c r="A60" s="3" t="s">
        <v>486</v>
      </c>
      <c r="B60" s="3" t="s">
        <v>409</v>
      </c>
      <c r="C60" s="4" t="s">
        <v>206</v>
      </c>
      <c r="D60" s="4" t="s">
        <v>64</v>
      </c>
      <c r="E60" s="4" t="s">
        <v>410</v>
      </c>
      <c r="F60" s="4" t="s">
        <v>66</v>
      </c>
      <c r="G60" s="4" t="s">
        <v>411</v>
      </c>
      <c r="H60" s="4" t="s">
        <v>68</v>
      </c>
      <c r="I60" s="4" t="s">
        <v>69</v>
      </c>
      <c r="J60" s="5">
        <v>1</v>
      </c>
      <c r="K60" s="4" t="s">
        <v>70</v>
      </c>
      <c r="L60" s="4" t="s">
        <v>412</v>
      </c>
      <c r="M60" s="6" t="str">
        <f>HYPERLINK("file:///C:/Users/paola/Tesis/04_Bibliography/01_Fenología%20y%20umbrales/03_MULTI_CALOR_MULTI_From_the_floret_to_the_canopy_High_temperature_toleranc.pdf","Abrir PDF local")</f>
        <v>Abrir PDF local</v>
      </c>
      <c r="N60" s="6" t="str">
        <f>HYPERLINK("https://doi.org/10.1016/j.xplc.2023.100629","Abrir fuente en línea")</f>
        <v>Abrir fuente en línea</v>
      </c>
      <c r="O60" s="3" t="s">
        <v>413</v>
      </c>
      <c r="P60" s="4" t="s">
        <v>31</v>
      </c>
      <c r="Q60" s="7" t="s">
        <v>414</v>
      </c>
      <c r="R60" s="14" t="s">
        <v>208</v>
      </c>
      <c r="S60" s="41" t="s">
        <v>471</v>
      </c>
      <c r="T60" s="19" t="s">
        <v>1510</v>
      </c>
      <c r="U60" s="19" t="s">
        <v>710</v>
      </c>
      <c r="V60" s="19"/>
      <c r="W60" s="32" t="s">
        <v>1511</v>
      </c>
      <c r="X60" s="29" t="s">
        <v>1512</v>
      </c>
      <c r="Y60" s="29" t="s">
        <v>1513</v>
      </c>
      <c r="Z60" s="29" t="s">
        <v>1514</v>
      </c>
      <c r="AI60" s="31" t="s">
        <v>1090</v>
      </c>
      <c r="AJ60" s="29" t="s">
        <v>208</v>
      </c>
      <c r="AK60" s="29" t="s">
        <v>1091</v>
      </c>
      <c r="AL60" s="29" t="s">
        <v>1156</v>
      </c>
      <c r="AM60" s="29" t="s">
        <v>1093</v>
      </c>
    </row>
    <row r="61" spans="1:39" ht="108" hidden="1" customHeight="1">
      <c r="A61" s="3" t="s">
        <v>486</v>
      </c>
      <c r="B61" s="3" t="s">
        <v>409</v>
      </c>
      <c r="C61" s="4" t="s">
        <v>206</v>
      </c>
      <c r="D61" s="4" t="s">
        <v>76</v>
      </c>
      <c r="E61" s="4" t="s">
        <v>415</v>
      </c>
      <c r="F61" s="4" t="s">
        <v>216</v>
      </c>
      <c r="G61" s="4" t="s">
        <v>416</v>
      </c>
      <c r="H61" s="4" t="s">
        <v>68</v>
      </c>
      <c r="I61" s="4" t="s">
        <v>69</v>
      </c>
      <c r="J61" s="5">
        <v>3</v>
      </c>
      <c r="K61" s="4" t="s">
        <v>417</v>
      </c>
      <c r="L61" s="4" t="s">
        <v>418</v>
      </c>
      <c r="M61" s="6" t="str">
        <f>HYPERLINK("file:///C:/Users/paola/Tesis/04_Bibliography/01_Fenología%20y%20umbrales/03_MULTI_CALOR_MULTI_From_the_floret_to_the_canopy_High_temperature_toleranc.pdf","Abrir PDF local")</f>
        <v>Abrir PDF local</v>
      </c>
      <c r="N61" s="6" t="str">
        <f>HYPERLINK("https://doi.org/10.1016/j.xplc.2023.100629","Abrir fuente en línea")</f>
        <v>Abrir fuente en línea</v>
      </c>
      <c r="O61" s="3" t="s">
        <v>419</v>
      </c>
      <c r="P61" s="4" t="s">
        <v>31</v>
      </c>
      <c r="Q61" s="7" t="s">
        <v>420</v>
      </c>
      <c r="R61" s="14" t="s">
        <v>208</v>
      </c>
      <c r="S61" s="41" t="s">
        <v>471</v>
      </c>
      <c r="T61" s="19" t="s">
        <v>1516</v>
      </c>
      <c r="U61" s="19" t="s">
        <v>711</v>
      </c>
      <c r="V61" s="19" t="s">
        <v>679</v>
      </c>
      <c r="W61" s="32" t="s">
        <v>1517</v>
      </c>
      <c r="X61" s="29" t="s">
        <v>1512</v>
      </c>
      <c r="Y61" s="29" t="s">
        <v>1518</v>
      </c>
      <c r="Z61" s="29" t="s">
        <v>1519</v>
      </c>
      <c r="AI61" s="31" t="s">
        <v>1090</v>
      </c>
      <c r="AJ61" s="29" t="s">
        <v>208</v>
      </c>
      <c r="AK61" s="29" t="s">
        <v>1091</v>
      </c>
      <c r="AL61" s="29" t="s">
        <v>1156</v>
      </c>
      <c r="AM61" s="29" t="s">
        <v>1093</v>
      </c>
    </row>
    <row r="62" spans="1:39" ht="122" hidden="1" customHeight="1">
      <c r="A62" s="3" t="s">
        <v>486</v>
      </c>
      <c r="B62" s="35" t="s">
        <v>409</v>
      </c>
      <c r="C62" s="36" t="s">
        <v>206</v>
      </c>
      <c r="D62" s="4" t="s">
        <v>421</v>
      </c>
      <c r="E62" s="4" t="s">
        <v>422</v>
      </c>
      <c r="F62" s="4" t="s">
        <v>234</v>
      </c>
      <c r="G62" s="4" t="s">
        <v>423</v>
      </c>
      <c r="H62" s="4" t="s">
        <v>424</v>
      </c>
      <c r="I62" s="4" t="s">
        <v>425</v>
      </c>
      <c r="J62" s="5">
        <v>4</v>
      </c>
      <c r="K62" s="4" t="s">
        <v>426</v>
      </c>
      <c r="L62" s="4" t="s">
        <v>427</v>
      </c>
      <c r="M62" s="6" t="str">
        <f>HYPERLINK("file:///C:/Users/paola/Tesis/04_Bibliography/01_Fenología%20y%20umbrales/Otros%20de%20fenología/32_TRIGO_ANEGAMIENTO_POSTFLORACION_Ma_2022.pdf","Abrir PDF local")</f>
        <v>Abrir PDF local</v>
      </c>
      <c r="N62" s="6" t="str">
        <f>HYPERLINK("https://doi.org/10.3389/fpls.2022.944308","Abrir fuente en línea")</f>
        <v>Abrir fuente en línea</v>
      </c>
      <c r="O62" s="3" t="s">
        <v>428</v>
      </c>
      <c r="P62" s="4" t="s">
        <v>31</v>
      </c>
      <c r="Q62" s="7" t="s">
        <v>429</v>
      </c>
      <c r="R62" s="14" t="s">
        <v>430</v>
      </c>
      <c r="S62" s="41" t="s">
        <v>471</v>
      </c>
      <c r="T62" s="19" t="s">
        <v>712</v>
      </c>
      <c r="U62" s="19" t="s">
        <v>713</v>
      </c>
      <c r="V62" s="19" t="s">
        <v>697</v>
      </c>
      <c r="W62" s="33" t="s">
        <v>1112</v>
      </c>
      <c r="X62" s="29" t="s">
        <v>1113</v>
      </c>
      <c r="Y62" s="29" t="s">
        <v>1114</v>
      </c>
      <c r="Z62" s="29" t="s">
        <v>1115</v>
      </c>
      <c r="AI62" s="33" t="s">
        <v>1116</v>
      </c>
      <c r="AJ62" s="29" t="s">
        <v>430</v>
      </c>
      <c r="AK62" s="29" t="s">
        <v>1117</v>
      </c>
      <c r="AL62" s="29" t="s">
        <v>1156</v>
      </c>
      <c r="AM62" s="29" t="s">
        <v>1093</v>
      </c>
    </row>
    <row r="63" spans="1:39" ht="72" hidden="1" customHeight="1">
      <c r="A63" s="3" t="s">
        <v>486</v>
      </c>
      <c r="B63" s="3" t="s">
        <v>409</v>
      </c>
      <c r="C63" s="4" t="s">
        <v>206</v>
      </c>
      <c r="D63" s="4" t="s">
        <v>399</v>
      </c>
      <c r="E63" s="4" t="s">
        <v>400</v>
      </c>
      <c r="F63" s="4" t="s">
        <v>401</v>
      </c>
      <c r="G63" s="4" t="s">
        <v>402</v>
      </c>
      <c r="H63" s="4" t="s">
        <v>403</v>
      </c>
      <c r="I63" s="4" t="s">
        <v>404</v>
      </c>
      <c r="J63" s="5">
        <v>4</v>
      </c>
      <c r="K63" s="4" t="s">
        <v>405</v>
      </c>
      <c r="L63" s="4" t="s">
        <v>406</v>
      </c>
      <c r="M63" s="6" t="str">
        <f>HYPERLINK("file:///C:/Users/paola/Tesis/04_Bibliography/01_Fenología%20y%20umbrales/Otros%20de%20fenología/33_TRIGO_HELADA_POSTESPIGAMIENTO_Frederiks_2015.pdf","Abrir PDF local")</f>
        <v>Abrir PDF local</v>
      </c>
      <c r="N63" s="6" t="str">
        <f>HYPERLINK("https://doi.org/10.1093/jxb/erv161","Abrir fuente en línea")</f>
        <v>Abrir fuente en línea</v>
      </c>
      <c r="O63" s="3" t="s">
        <v>407</v>
      </c>
      <c r="P63" s="4" t="s">
        <v>31</v>
      </c>
      <c r="Q63" s="7" t="s">
        <v>431</v>
      </c>
      <c r="R63" s="14" t="s">
        <v>432</v>
      </c>
      <c r="S63" s="41" t="s">
        <v>471</v>
      </c>
      <c r="T63" s="19" t="s">
        <v>1560</v>
      </c>
      <c r="U63" s="19" t="s">
        <v>709</v>
      </c>
      <c r="V63" s="19"/>
      <c r="W63" s="32" t="s">
        <v>1561</v>
      </c>
      <c r="X63" s="29" t="s">
        <v>1562</v>
      </c>
      <c r="Y63" s="29" t="s">
        <v>1563</v>
      </c>
      <c r="Z63" s="29" t="s">
        <v>1564</v>
      </c>
      <c r="AI63" s="31" t="s">
        <v>1090</v>
      </c>
      <c r="AJ63" s="29" t="s">
        <v>432</v>
      </c>
      <c r="AK63" s="29" t="s">
        <v>1091</v>
      </c>
      <c r="AL63" s="29" t="s">
        <v>1156</v>
      </c>
      <c r="AM63" s="29" t="s">
        <v>1093</v>
      </c>
    </row>
    <row r="64" spans="1:39" ht="220" hidden="1" customHeight="1">
      <c r="A64" s="3" t="s">
        <v>486</v>
      </c>
      <c r="B64" s="3" t="s">
        <v>433</v>
      </c>
      <c r="C64" s="4" t="s">
        <v>244</v>
      </c>
      <c r="D64" s="4" t="s">
        <v>434</v>
      </c>
      <c r="E64" s="4" t="s">
        <v>435</v>
      </c>
      <c r="F64" s="4" t="s">
        <v>234</v>
      </c>
      <c r="G64" s="4" t="s">
        <v>436</v>
      </c>
      <c r="H64" s="4" t="s">
        <v>437</v>
      </c>
      <c r="I64" s="4" t="s">
        <v>438</v>
      </c>
      <c r="J64" s="5">
        <v>1</v>
      </c>
      <c r="K64" s="4" t="s">
        <v>439</v>
      </c>
      <c r="L64" s="4" t="s">
        <v>440</v>
      </c>
      <c r="M64" s="6" t="str">
        <f>HYPERLINK("file:///C:/Users/paola/Tesis/04_Bibliography/01_Fenología%20y%20umbrales/Otros%20de%20fenología/31_TRIGO_CALOR_NOCTURNO_Hein_2020.pdf","Abrir PDF local")</f>
        <v>Abrir PDF local</v>
      </c>
      <c r="N64" s="6" t="str">
        <f>HYPERLINK("https://doi.org/10.1038/s41598-020-79179-0","Abrir fuente en línea")</f>
        <v>Abrir fuente en línea</v>
      </c>
      <c r="O64" s="3" t="s">
        <v>441</v>
      </c>
      <c r="P64" s="4" t="s">
        <v>31</v>
      </c>
      <c r="Q64" s="7" t="s">
        <v>442</v>
      </c>
      <c r="R64" s="14" t="s">
        <v>443</v>
      </c>
      <c r="S64" s="41" t="s">
        <v>476</v>
      </c>
      <c r="T64" s="19" t="s">
        <v>1565</v>
      </c>
      <c r="U64" s="19" t="s">
        <v>714</v>
      </c>
      <c r="V64" s="19" t="s">
        <v>715</v>
      </c>
      <c r="W64" s="32" t="s">
        <v>1566</v>
      </c>
      <c r="X64" s="29" t="s">
        <v>1567</v>
      </c>
      <c r="Y64" s="29" t="s">
        <v>1568</v>
      </c>
      <c r="Z64" s="29" t="s">
        <v>1569</v>
      </c>
      <c r="AI64" s="31" t="s">
        <v>1101</v>
      </c>
      <c r="AJ64" s="29" t="s">
        <v>443</v>
      </c>
      <c r="AK64" s="29" t="s">
        <v>1102</v>
      </c>
      <c r="AL64" s="29" t="s">
        <v>1157</v>
      </c>
      <c r="AM64" s="29" t="s">
        <v>1093</v>
      </c>
    </row>
    <row r="65" spans="1:39" ht="72" hidden="1" customHeight="1">
      <c r="A65" s="3" t="s">
        <v>486</v>
      </c>
      <c r="B65" s="3" t="s">
        <v>433</v>
      </c>
      <c r="C65" s="4" t="s">
        <v>244</v>
      </c>
      <c r="D65" s="4" t="s">
        <v>399</v>
      </c>
      <c r="E65" s="4" t="s">
        <v>400</v>
      </c>
      <c r="F65" s="4" t="s">
        <v>401</v>
      </c>
      <c r="G65" s="4" t="s">
        <v>402</v>
      </c>
      <c r="H65" s="4" t="s">
        <v>403</v>
      </c>
      <c r="I65" s="4" t="s">
        <v>404</v>
      </c>
      <c r="J65" s="5">
        <v>4</v>
      </c>
      <c r="K65" s="4" t="s">
        <v>405</v>
      </c>
      <c r="L65" s="4" t="s">
        <v>406</v>
      </c>
      <c r="M65" s="6" t="str">
        <f>HYPERLINK("file:///C:/Users/paola/Tesis/04_Bibliography/01_Fenología%20y%20umbrales/Otros%20de%20fenología/33_TRIGO_HELADA_POSTESPIGAMIENTO_Frederiks_2015.pdf","Abrir PDF local")</f>
        <v>Abrir PDF local</v>
      </c>
      <c r="N65" s="6" t="str">
        <f>HYPERLINK("https://doi.org/10.1093/jxb/erv161","Abrir fuente en línea")</f>
        <v>Abrir fuente en línea</v>
      </c>
      <c r="O65" s="3" t="s">
        <v>407</v>
      </c>
      <c r="P65" s="4" t="s">
        <v>31</v>
      </c>
      <c r="Q65" s="7" t="s">
        <v>444</v>
      </c>
      <c r="R65" s="14" t="s">
        <v>96</v>
      </c>
      <c r="S65" s="41" t="s">
        <v>476</v>
      </c>
      <c r="T65" s="19" t="s">
        <v>1560</v>
      </c>
      <c r="U65" s="19" t="s">
        <v>709</v>
      </c>
      <c r="V65" s="19"/>
      <c r="W65" s="32" t="s">
        <v>1561</v>
      </c>
      <c r="X65" s="29" t="s">
        <v>1562</v>
      </c>
      <c r="Y65" s="29" t="s">
        <v>1563</v>
      </c>
      <c r="Z65" s="29" t="s">
        <v>1564</v>
      </c>
      <c r="AI65" s="31" t="s">
        <v>1090</v>
      </c>
      <c r="AJ65" s="29" t="s">
        <v>96</v>
      </c>
      <c r="AK65" s="29" t="s">
        <v>1091</v>
      </c>
      <c r="AL65" s="29" t="s">
        <v>1157</v>
      </c>
      <c r="AM65" s="29" t="s">
        <v>1093</v>
      </c>
    </row>
    <row r="66" spans="1:39" ht="108" hidden="1" customHeight="1">
      <c r="A66" s="3" t="s">
        <v>486</v>
      </c>
      <c r="B66" s="3" t="s">
        <v>445</v>
      </c>
      <c r="C66" s="4" t="s">
        <v>253</v>
      </c>
      <c r="D66" s="4" t="s">
        <v>446</v>
      </c>
      <c r="E66" s="4" t="s">
        <v>447</v>
      </c>
      <c r="F66" s="4" t="s">
        <v>448</v>
      </c>
      <c r="G66" s="4" t="s">
        <v>449</v>
      </c>
      <c r="H66" s="4" t="s">
        <v>450</v>
      </c>
      <c r="I66" s="4" t="s">
        <v>451</v>
      </c>
      <c r="J66" s="5">
        <v>3</v>
      </c>
      <c r="K66" s="4" t="s">
        <v>452</v>
      </c>
      <c r="L66" s="4" t="s">
        <v>453</v>
      </c>
      <c r="M66" s="6" t="str">
        <f>HYPERLINK("file:///C:/Users/paola/Tesis/04_Bibliography/01_FenologÃ­a%20y%20umbrales/Otros%20de%20fenologÃ­a/72_PMC11172332.pdf","Abrir PDF local")</f>
        <v>Abrir PDF local</v>
      </c>
      <c r="N66" s="6" t="str">
        <f>HYPERLINK("https://europepmc.org/articles/PMC11172332","Abrir fuente en línea")</f>
        <v>Abrir fuente en línea</v>
      </c>
      <c r="O66" s="3" t="s">
        <v>454</v>
      </c>
      <c r="P66" s="4" t="s">
        <v>31</v>
      </c>
      <c r="Q66" s="7" t="s">
        <v>455</v>
      </c>
      <c r="R66" s="14" t="s">
        <v>136</v>
      </c>
      <c r="S66" s="4" t="s">
        <v>479</v>
      </c>
      <c r="T66" s="19" t="s">
        <v>1570</v>
      </c>
      <c r="U66" s="19" t="s">
        <v>716</v>
      </c>
      <c r="V66" s="19" t="s">
        <v>717</v>
      </c>
      <c r="W66" s="32" t="s">
        <v>1571</v>
      </c>
      <c r="X66" s="29" t="s">
        <v>1545</v>
      </c>
      <c r="Y66" s="29" t="s">
        <v>1572</v>
      </c>
      <c r="Z66" s="29" t="s">
        <v>1573</v>
      </c>
      <c r="AI66" s="31" t="s">
        <v>1101</v>
      </c>
      <c r="AJ66" s="29" t="s">
        <v>1158</v>
      </c>
      <c r="AK66" s="29" t="s">
        <v>1102</v>
      </c>
      <c r="AL66" s="29" t="s">
        <v>1159</v>
      </c>
      <c r="AM66" s="29" t="s">
        <v>1158</v>
      </c>
    </row>
    <row r="67" spans="1:39" ht="180" hidden="1" customHeight="1">
      <c r="A67" s="3" t="s">
        <v>483</v>
      </c>
      <c r="B67" s="3" t="s">
        <v>62</v>
      </c>
      <c r="C67" s="4" t="s">
        <v>718</v>
      </c>
      <c r="D67" s="4" t="s">
        <v>719</v>
      </c>
      <c r="E67" s="4" t="s">
        <v>720</v>
      </c>
      <c r="F67" s="4" t="s">
        <v>721</v>
      </c>
      <c r="G67" s="4" t="s">
        <v>722</v>
      </c>
      <c r="H67" s="4" t="s">
        <v>723</v>
      </c>
      <c r="I67" s="4" t="s">
        <v>106</v>
      </c>
      <c r="J67" s="5" t="s">
        <v>724</v>
      </c>
      <c r="K67" s="4" t="s">
        <v>725</v>
      </c>
      <c r="L67" s="4" t="s">
        <v>726</v>
      </c>
      <c r="M67" s="6" t="str">
        <f>HYPERLINK("file:///C:/Users/paola/Documents/Codex/2026-07-19/nece/outputs/papers_evidencia/MZ_F3_Zhang_2023_heat_grain_filling.pdf","Abrir PDF local")</f>
        <v>Abrir PDF local</v>
      </c>
      <c r="N67" s="6" t="str">
        <f>HYPERLINK("https://doi.org/10.3390/agronomy13082126","Abrir fuente en línea")</f>
        <v>Abrir fuente en línea</v>
      </c>
      <c r="O67" s="3" t="s">
        <v>727</v>
      </c>
      <c r="P67" s="4" t="s">
        <v>31</v>
      </c>
      <c r="Q67" s="7" t="s">
        <v>728</v>
      </c>
      <c r="R67" s="4" t="s">
        <v>729</v>
      </c>
      <c r="S67" s="4" t="s">
        <v>473</v>
      </c>
      <c r="T67" s="19" t="s">
        <v>1521</v>
      </c>
      <c r="U67" s="19" t="s">
        <v>730</v>
      </c>
      <c r="V67" s="19" t="s">
        <v>668</v>
      </c>
      <c r="W67" s="32" t="s">
        <v>1522</v>
      </c>
      <c r="X67" s="29" t="s">
        <v>1523</v>
      </c>
      <c r="Y67" s="29" t="s">
        <v>1524</v>
      </c>
      <c r="Z67" s="29" t="s">
        <v>1525</v>
      </c>
      <c r="AI67" s="31" t="s">
        <v>1101</v>
      </c>
      <c r="AJ67" s="29" t="s">
        <v>729</v>
      </c>
      <c r="AK67" s="29" t="s">
        <v>1102</v>
      </c>
      <c r="AL67" s="29" t="s">
        <v>1160</v>
      </c>
      <c r="AM67" s="29" t="s">
        <v>1093</v>
      </c>
    </row>
    <row r="68" spans="1:39" ht="110" hidden="1" customHeight="1">
      <c r="A68" s="3" t="s">
        <v>483</v>
      </c>
      <c r="B68" s="3" t="s">
        <v>465</v>
      </c>
      <c r="C68" s="4" t="s">
        <v>746</v>
      </c>
      <c r="D68" s="4" t="s">
        <v>669</v>
      </c>
      <c r="E68" s="4" t="s">
        <v>747</v>
      </c>
      <c r="F68" s="4" t="s">
        <v>748</v>
      </c>
      <c r="G68" s="4" t="s">
        <v>749</v>
      </c>
      <c r="H68" s="4"/>
      <c r="I68" s="4" t="s">
        <v>750</v>
      </c>
      <c r="J68" s="5" t="s">
        <v>751</v>
      </c>
      <c r="K68" s="4" t="s">
        <v>752</v>
      </c>
      <c r="L68" s="4" t="s">
        <v>753</v>
      </c>
      <c r="M68" s="6" t="s">
        <v>754</v>
      </c>
      <c r="N68" s="6" t="e">
        <f>HYPERLINK("https://doi.org/10.1016/j.eja.2025.127729","Abrir DOI")</f>
        <v>#VALUE!</v>
      </c>
      <c r="O68" s="3" t="s">
        <v>755</v>
      </c>
      <c r="P68" s="4" t="s">
        <v>756</v>
      </c>
      <c r="Q68" s="7" t="s">
        <v>749</v>
      </c>
      <c r="R68" s="14" t="s">
        <v>746</v>
      </c>
      <c r="S68" s="4" t="s">
        <v>465</v>
      </c>
      <c r="T68" s="19" t="s">
        <v>1521</v>
      </c>
      <c r="U68" s="19" t="s">
        <v>747</v>
      </c>
      <c r="V68" s="19" t="s">
        <v>757</v>
      </c>
      <c r="W68" s="32" t="s">
        <v>1522</v>
      </c>
      <c r="X68" s="29" t="s">
        <v>1523</v>
      </c>
      <c r="Y68" s="29" t="s">
        <v>1524</v>
      </c>
      <c r="Z68" s="29" t="s">
        <v>1525</v>
      </c>
      <c r="AA68" s="21" t="s">
        <v>758</v>
      </c>
      <c r="AB68" s="21" t="s">
        <v>752</v>
      </c>
      <c r="AC68" s="21" t="s">
        <v>751</v>
      </c>
      <c r="AD68" s="22" t="s">
        <v>759</v>
      </c>
      <c r="AE68" s="21" t="s">
        <v>753</v>
      </c>
      <c r="AF68" s="23" t="s">
        <v>760</v>
      </c>
      <c r="AG68" s="21" t="s">
        <v>761</v>
      </c>
      <c r="AH68" s="21" t="s">
        <v>762</v>
      </c>
      <c r="AI68" s="32" t="s">
        <v>1161</v>
      </c>
      <c r="AJ68" s="29" t="s">
        <v>746</v>
      </c>
      <c r="AK68" s="29" t="s">
        <v>1162</v>
      </c>
      <c r="AL68" s="29" t="s">
        <v>1092</v>
      </c>
      <c r="AM68" s="29" t="s">
        <v>1163</v>
      </c>
    </row>
    <row r="69" spans="1:39" ht="110" hidden="1" customHeight="1">
      <c r="A69" s="3" t="s">
        <v>483</v>
      </c>
      <c r="B69" s="3" t="s">
        <v>763</v>
      </c>
      <c r="C69" s="4" t="s">
        <v>764</v>
      </c>
      <c r="D69" s="4" t="s">
        <v>669</v>
      </c>
      <c r="E69" s="4" t="s">
        <v>765</v>
      </c>
      <c r="F69" s="4" t="s">
        <v>748</v>
      </c>
      <c r="G69" s="4" t="s">
        <v>749</v>
      </c>
      <c r="H69" s="4"/>
      <c r="I69" s="4" t="s">
        <v>750</v>
      </c>
      <c r="J69" s="5" t="s">
        <v>751</v>
      </c>
      <c r="K69" s="4" t="s">
        <v>752</v>
      </c>
      <c r="L69" s="4" t="s">
        <v>753</v>
      </c>
      <c r="M69" s="6" t="s">
        <v>754</v>
      </c>
      <c r="N69" s="6" t="e">
        <f>HYPERLINK("https://doi.org/10.1016/j.eja.2025.127729","Abrir DOI")</f>
        <v>#VALUE!</v>
      </c>
      <c r="O69" s="3" t="s">
        <v>766</v>
      </c>
      <c r="P69" s="4" t="s">
        <v>756</v>
      </c>
      <c r="Q69" s="7" t="s">
        <v>749</v>
      </c>
      <c r="R69" s="14" t="s">
        <v>764</v>
      </c>
      <c r="S69" s="4" t="s">
        <v>468</v>
      </c>
      <c r="T69" s="19" t="s">
        <v>1521</v>
      </c>
      <c r="U69" s="19" t="s">
        <v>765</v>
      </c>
      <c r="V69" s="19" t="s">
        <v>757</v>
      </c>
      <c r="W69" s="32" t="s">
        <v>1522</v>
      </c>
      <c r="X69" s="29" t="s">
        <v>1523</v>
      </c>
      <c r="Y69" s="29" t="s">
        <v>1524</v>
      </c>
      <c r="Z69" s="29" t="s">
        <v>1525</v>
      </c>
      <c r="AA69" s="21" t="s">
        <v>758</v>
      </c>
      <c r="AB69" s="21" t="s">
        <v>752</v>
      </c>
      <c r="AC69" s="21" t="s">
        <v>751</v>
      </c>
      <c r="AD69" s="22" t="s">
        <v>759</v>
      </c>
      <c r="AE69" s="21" t="s">
        <v>753</v>
      </c>
      <c r="AF69" s="23" t="s">
        <v>760</v>
      </c>
      <c r="AG69" s="21" t="s">
        <v>761</v>
      </c>
      <c r="AH69" s="21" t="s">
        <v>762</v>
      </c>
      <c r="AI69" s="32" t="s">
        <v>1161</v>
      </c>
      <c r="AJ69" s="29" t="s">
        <v>1574</v>
      </c>
      <c r="AK69" s="29" t="s">
        <v>1164</v>
      </c>
      <c r="AL69" s="29" t="s">
        <v>1165</v>
      </c>
      <c r="AM69" s="29" t="s">
        <v>1163</v>
      </c>
    </row>
    <row r="70" spans="1:39" ht="110" hidden="1" customHeight="1">
      <c r="A70" s="3" t="s">
        <v>483</v>
      </c>
      <c r="B70" s="3" t="s">
        <v>468</v>
      </c>
      <c r="C70" s="4" t="s">
        <v>767</v>
      </c>
      <c r="D70" s="4" t="s">
        <v>669</v>
      </c>
      <c r="E70" s="4" t="s">
        <v>768</v>
      </c>
      <c r="F70" s="4" t="s">
        <v>748</v>
      </c>
      <c r="G70" s="4" t="s">
        <v>749</v>
      </c>
      <c r="H70" s="4"/>
      <c r="I70" s="4" t="s">
        <v>750</v>
      </c>
      <c r="J70" s="5" t="s">
        <v>751</v>
      </c>
      <c r="K70" s="4" t="s">
        <v>752</v>
      </c>
      <c r="L70" s="4" t="s">
        <v>753</v>
      </c>
      <c r="M70" s="6" t="s">
        <v>754</v>
      </c>
      <c r="N70" s="6" t="e">
        <f>HYPERLINK("https://doi.org/10.1016/j.eja.2025.127729","Abrir DOI")</f>
        <v>#VALUE!</v>
      </c>
      <c r="O70" s="3" t="s">
        <v>769</v>
      </c>
      <c r="P70" s="4" t="s">
        <v>756</v>
      </c>
      <c r="Q70" s="7" t="s">
        <v>749</v>
      </c>
      <c r="R70" s="14" t="s">
        <v>767</v>
      </c>
      <c r="S70" s="4" t="s">
        <v>468</v>
      </c>
      <c r="T70" s="19" t="s">
        <v>1521</v>
      </c>
      <c r="U70" s="19" t="s">
        <v>768</v>
      </c>
      <c r="V70" s="19" t="s">
        <v>757</v>
      </c>
      <c r="W70" s="32" t="s">
        <v>1522</v>
      </c>
      <c r="X70" s="29" t="s">
        <v>1523</v>
      </c>
      <c r="Y70" s="29" t="s">
        <v>1524</v>
      </c>
      <c r="Z70" s="29" t="s">
        <v>1525</v>
      </c>
      <c r="AA70" s="21" t="s">
        <v>758</v>
      </c>
      <c r="AB70" s="21" t="s">
        <v>752</v>
      </c>
      <c r="AC70" s="21" t="s">
        <v>751</v>
      </c>
      <c r="AD70" s="22" t="s">
        <v>759</v>
      </c>
      <c r="AE70" s="21" t="s">
        <v>753</v>
      </c>
      <c r="AF70" s="23" t="s">
        <v>760</v>
      </c>
      <c r="AG70" s="21" t="s">
        <v>761</v>
      </c>
      <c r="AH70" s="21" t="s">
        <v>762</v>
      </c>
      <c r="AI70" s="32" t="s">
        <v>1161</v>
      </c>
      <c r="AJ70" s="29" t="s">
        <v>767</v>
      </c>
      <c r="AK70" s="29" t="s">
        <v>1166</v>
      </c>
      <c r="AL70" s="29" t="s">
        <v>1100</v>
      </c>
      <c r="AM70" s="29" t="s">
        <v>1163</v>
      </c>
    </row>
    <row r="71" spans="1:39" ht="110" hidden="1" customHeight="1">
      <c r="A71" s="3" t="s">
        <v>483</v>
      </c>
      <c r="B71" s="3" t="s">
        <v>770</v>
      </c>
      <c r="C71" s="4" t="s">
        <v>771</v>
      </c>
      <c r="D71" s="4" t="s">
        <v>669</v>
      </c>
      <c r="E71" s="4" t="s">
        <v>772</v>
      </c>
      <c r="F71" s="4" t="s">
        <v>748</v>
      </c>
      <c r="G71" s="4" t="s">
        <v>749</v>
      </c>
      <c r="H71" s="4"/>
      <c r="I71" s="4" t="s">
        <v>750</v>
      </c>
      <c r="J71" s="5" t="s">
        <v>751</v>
      </c>
      <c r="K71" s="4" t="s">
        <v>752</v>
      </c>
      <c r="L71" s="4" t="s">
        <v>753</v>
      </c>
      <c r="M71" s="6" t="s">
        <v>754</v>
      </c>
      <c r="N71" s="6" t="e">
        <f>HYPERLINK("https://doi.org/10.1016/j.eja.2025.127729","Abrir DOI")</f>
        <v>#VALUE!</v>
      </c>
      <c r="O71" s="3" t="s">
        <v>773</v>
      </c>
      <c r="P71" s="4" t="s">
        <v>756</v>
      </c>
      <c r="Q71" s="7" t="s">
        <v>749</v>
      </c>
      <c r="R71" s="14" t="s">
        <v>771</v>
      </c>
      <c r="S71" s="4" t="s">
        <v>468</v>
      </c>
      <c r="T71" s="19" t="s">
        <v>1521</v>
      </c>
      <c r="U71" s="19" t="s">
        <v>772</v>
      </c>
      <c r="V71" s="19" t="s">
        <v>757</v>
      </c>
      <c r="W71" s="32" t="s">
        <v>1522</v>
      </c>
      <c r="X71" s="29" t="s">
        <v>1523</v>
      </c>
      <c r="Y71" s="29" t="s">
        <v>1524</v>
      </c>
      <c r="Z71" s="29" t="s">
        <v>1525</v>
      </c>
      <c r="AA71" s="21" t="s">
        <v>758</v>
      </c>
      <c r="AB71" s="21" t="s">
        <v>752</v>
      </c>
      <c r="AC71" s="21" t="s">
        <v>751</v>
      </c>
      <c r="AD71" s="22" t="s">
        <v>759</v>
      </c>
      <c r="AE71" s="21" t="s">
        <v>753</v>
      </c>
      <c r="AF71" s="23" t="s">
        <v>760</v>
      </c>
      <c r="AG71" s="21" t="s">
        <v>761</v>
      </c>
      <c r="AH71" s="21" t="s">
        <v>762</v>
      </c>
      <c r="AI71" s="32" t="s">
        <v>1161</v>
      </c>
      <c r="AJ71" s="29" t="s">
        <v>1575</v>
      </c>
      <c r="AK71" s="29" t="s">
        <v>1167</v>
      </c>
      <c r="AL71" s="29" t="s">
        <v>1168</v>
      </c>
      <c r="AM71" s="29" t="s">
        <v>1163</v>
      </c>
    </row>
    <row r="72" spans="1:39" ht="110" hidden="1" customHeight="1">
      <c r="A72" s="3" t="s">
        <v>483</v>
      </c>
      <c r="B72" s="3" t="s">
        <v>774</v>
      </c>
      <c r="C72" s="4" t="s">
        <v>775</v>
      </c>
      <c r="D72" s="4" t="s">
        <v>776</v>
      </c>
      <c r="E72" s="4" t="s">
        <v>777</v>
      </c>
      <c r="F72" s="4" t="s">
        <v>778</v>
      </c>
      <c r="G72" s="4" t="s">
        <v>779</v>
      </c>
      <c r="H72" s="4"/>
      <c r="I72" s="4" t="s">
        <v>780</v>
      </c>
      <c r="J72" s="5" t="s">
        <v>781</v>
      </c>
      <c r="K72" s="4" t="s">
        <v>782</v>
      </c>
      <c r="L72" s="4" t="s">
        <v>783</v>
      </c>
      <c r="M72" s="6" t="e">
        <f>HYPERLINK("C:/Users/paola/Tesis/04_Bibliography/01_Fenología y umbrales/10 fuentes faltantes/02_Li_2025b.pdf","Abrir PDF local")</f>
        <v>#VALUE!</v>
      </c>
      <c r="N72" s="6" t="e">
        <f>HYPERLINK("https://doi.org/10.3390/agronomy15071545","Abrir DOI")</f>
        <v>#VALUE!</v>
      </c>
      <c r="O72" s="3" t="s">
        <v>784</v>
      </c>
      <c r="P72" s="4" t="s">
        <v>756</v>
      </c>
      <c r="Q72" s="7" t="s">
        <v>779</v>
      </c>
      <c r="R72" s="14" t="s">
        <v>775</v>
      </c>
      <c r="S72" s="41" t="s">
        <v>1576</v>
      </c>
      <c r="T72" s="19" t="s">
        <v>1577</v>
      </c>
      <c r="U72" s="19" t="s">
        <v>777</v>
      </c>
      <c r="V72" s="19" t="s">
        <v>785</v>
      </c>
      <c r="W72" s="32" t="s">
        <v>1578</v>
      </c>
      <c r="X72" s="29" t="s">
        <v>1579</v>
      </c>
      <c r="Y72" s="29" t="s">
        <v>1580</v>
      </c>
      <c r="Z72" s="29" t="s">
        <v>1581</v>
      </c>
      <c r="AA72" s="21" t="s">
        <v>786</v>
      </c>
      <c r="AB72" s="21" t="s">
        <v>782</v>
      </c>
      <c r="AC72" s="21" t="s">
        <v>781</v>
      </c>
      <c r="AD72" s="22" t="s">
        <v>787</v>
      </c>
      <c r="AE72" s="21" t="s">
        <v>783</v>
      </c>
      <c r="AF72" s="21" t="s">
        <v>788</v>
      </c>
      <c r="AG72" s="21" t="s">
        <v>761</v>
      </c>
      <c r="AH72" s="21" t="s">
        <v>789</v>
      </c>
      <c r="AI72" s="31" t="s">
        <v>1169</v>
      </c>
      <c r="AJ72" s="29" t="s">
        <v>1582</v>
      </c>
      <c r="AK72" s="29" t="s">
        <v>1170</v>
      </c>
      <c r="AL72" s="29" t="s">
        <v>1171</v>
      </c>
      <c r="AM72" s="29" t="s">
        <v>1172</v>
      </c>
    </row>
    <row r="73" spans="1:39" ht="110" hidden="1" customHeight="1">
      <c r="A73" s="3" t="s">
        <v>483</v>
      </c>
      <c r="B73" s="3" t="s">
        <v>774</v>
      </c>
      <c r="C73" s="4" t="s">
        <v>775</v>
      </c>
      <c r="D73" s="4" t="s">
        <v>776</v>
      </c>
      <c r="E73" s="4" t="s">
        <v>790</v>
      </c>
      <c r="F73" s="4" t="s">
        <v>778</v>
      </c>
      <c r="G73" s="4" t="s">
        <v>779</v>
      </c>
      <c r="H73" s="4"/>
      <c r="I73" s="4" t="s">
        <v>780</v>
      </c>
      <c r="J73" s="5" t="s">
        <v>781</v>
      </c>
      <c r="K73" s="4" t="s">
        <v>782</v>
      </c>
      <c r="L73" s="4" t="s">
        <v>783</v>
      </c>
      <c r="M73" s="6" t="e">
        <f>HYPERLINK("C:/Users/paola/Tesis/04_Bibliography/01_Fenología y umbrales/10 fuentes faltantes/02_Li_2025b.pdf","Abrir PDF local")</f>
        <v>#VALUE!</v>
      </c>
      <c r="N73" s="6" t="e">
        <f>HYPERLINK("https://doi.org/10.3390/agronomy15071545","Abrir DOI")</f>
        <v>#VALUE!</v>
      </c>
      <c r="O73" s="3" t="s">
        <v>791</v>
      </c>
      <c r="P73" s="4" t="s">
        <v>756</v>
      </c>
      <c r="Q73" s="7" t="s">
        <v>779</v>
      </c>
      <c r="R73" s="14" t="s">
        <v>775</v>
      </c>
      <c r="S73" s="41" t="s">
        <v>1576</v>
      </c>
      <c r="T73" s="19" t="s">
        <v>1577</v>
      </c>
      <c r="U73" s="19" t="s">
        <v>790</v>
      </c>
      <c r="V73" s="19" t="s">
        <v>792</v>
      </c>
      <c r="W73" s="32" t="s">
        <v>1578</v>
      </c>
      <c r="X73" s="29" t="s">
        <v>1579</v>
      </c>
      <c r="Y73" s="29" t="s">
        <v>1580</v>
      </c>
      <c r="Z73" s="29" t="s">
        <v>1581</v>
      </c>
      <c r="AA73" s="21" t="s">
        <v>786</v>
      </c>
      <c r="AB73" s="21" t="s">
        <v>782</v>
      </c>
      <c r="AC73" s="21" t="s">
        <v>781</v>
      </c>
      <c r="AD73" s="22" t="s">
        <v>787</v>
      </c>
      <c r="AE73" s="21" t="s">
        <v>783</v>
      </c>
      <c r="AF73" s="21" t="s">
        <v>788</v>
      </c>
      <c r="AG73" s="21" t="s">
        <v>761</v>
      </c>
      <c r="AH73" s="21" t="s">
        <v>789</v>
      </c>
      <c r="AI73" s="31" t="s">
        <v>1169</v>
      </c>
      <c r="AJ73" s="29" t="s">
        <v>1582</v>
      </c>
      <c r="AK73" s="29" t="s">
        <v>1170</v>
      </c>
      <c r="AL73" s="29" t="s">
        <v>1171</v>
      </c>
      <c r="AM73" s="29" t="s">
        <v>1172</v>
      </c>
    </row>
    <row r="74" spans="1:39" ht="110" hidden="1" customHeight="1">
      <c r="A74" s="3" t="s">
        <v>483</v>
      </c>
      <c r="B74" s="3" t="s">
        <v>774</v>
      </c>
      <c r="C74" s="4" t="s">
        <v>775</v>
      </c>
      <c r="D74" s="4" t="s">
        <v>776</v>
      </c>
      <c r="E74" s="4" t="s">
        <v>793</v>
      </c>
      <c r="F74" s="4" t="s">
        <v>778</v>
      </c>
      <c r="G74" s="4" t="s">
        <v>779</v>
      </c>
      <c r="H74" s="4"/>
      <c r="I74" s="4" t="s">
        <v>780</v>
      </c>
      <c r="J74" s="5" t="s">
        <v>781</v>
      </c>
      <c r="K74" s="4" t="s">
        <v>782</v>
      </c>
      <c r="L74" s="4" t="s">
        <v>783</v>
      </c>
      <c r="M74" s="6" t="e">
        <f>HYPERLINK("C:/Users/paola/Tesis/04_Bibliography/01_Fenología y umbrales/10 fuentes faltantes/02_Li_2025b.pdf","Abrir PDF local")</f>
        <v>#VALUE!</v>
      </c>
      <c r="N74" s="6" t="e">
        <f>HYPERLINK("https://doi.org/10.3390/agronomy15071545","Abrir DOI")</f>
        <v>#VALUE!</v>
      </c>
      <c r="O74" s="3" t="s">
        <v>794</v>
      </c>
      <c r="P74" s="4" t="s">
        <v>756</v>
      </c>
      <c r="Q74" s="7" t="s">
        <v>779</v>
      </c>
      <c r="R74" s="14" t="s">
        <v>775</v>
      </c>
      <c r="S74" s="41" t="s">
        <v>1576</v>
      </c>
      <c r="T74" s="19" t="s">
        <v>1577</v>
      </c>
      <c r="U74" s="19" t="s">
        <v>793</v>
      </c>
      <c r="V74" s="19" t="s">
        <v>795</v>
      </c>
      <c r="W74" s="32" t="s">
        <v>1578</v>
      </c>
      <c r="X74" s="29" t="s">
        <v>1579</v>
      </c>
      <c r="Y74" s="29" t="s">
        <v>1580</v>
      </c>
      <c r="Z74" s="29" t="s">
        <v>1581</v>
      </c>
      <c r="AA74" s="21" t="s">
        <v>786</v>
      </c>
      <c r="AB74" s="21" t="s">
        <v>782</v>
      </c>
      <c r="AC74" s="21" t="s">
        <v>781</v>
      </c>
      <c r="AD74" s="22" t="s">
        <v>787</v>
      </c>
      <c r="AE74" s="21" t="s">
        <v>783</v>
      </c>
      <c r="AF74" s="21" t="s">
        <v>788</v>
      </c>
      <c r="AG74" s="21" t="s">
        <v>761</v>
      </c>
      <c r="AH74" s="21" t="s">
        <v>789</v>
      </c>
      <c r="AI74" s="31" t="s">
        <v>1169</v>
      </c>
      <c r="AJ74" s="29" t="s">
        <v>1582</v>
      </c>
      <c r="AK74" s="29" t="s">
        <v>1170</v>
      </c>
      <c r="AL74" s="29" t="s">
        <v>1171</v>
      </c>
      <c r="AM74" s="29" t="s">
        <v>1172</v>
      </c>
    </row>
    <row r="75" spans="1:39" ht="110" customHeight="1">
      <c r="A75" s="3" t="s">
        <v>484</v>
      </c>
      <c r="B75" s="3" t="s">
        <v>468</v>
      </c>
      <c r="C75" s="4" t="s">
        <v>796</v>
      </c>
      <c r="D75" s="4" t="s">
        <v>669</v>
      </c>
      <c r="E75" s="4" t="s">
        <v>797</v>
      </c>
      <c r="F75" s="4" t="s">
        <v>798</v>
      </c>
      <c r="G75" s="4" t="s">
        <v>799</v>
      </c>
      <c r="H75" s="4"/>
      <c r="I75" s="4" t="s">
        <v>800</v>
      </c>
      <c r="J75" s="5" t="s">
        <v>801</v>
      </c>
      <c r="K75" s="4" t="s">
        <v>802</v>
      </c>
      <c r="L75" s="4" t="s">
        <v>803</v>
      </c>
      <c r="M75" s="6" t="e">
        <f>HYPERLINK("C:/Users/paola/Tesis/04_Bibliography/01_Fenología y umbrales/10 fuentes faltantes/03_Jiang_2023.pdf","Abrir PDF local")</f>
        <v>#VALUE!</v>
      </c>
      <c r="N75" s="6" t="e">
        <f>HYPERLINK("https://doi.org/10.3390/agronomy13102574","Abrir DOI")</f>
        <v>#VALUE!</v>
      </c>
      <c r="O75" s="3" t="s">
        <v>804</v>
      </c>
      <c r="P75" s="4" t="s">
        <v>756</v>
      </c>
      <c r="Q75" s="7" t="s">
        <v>799</v>
      </c>
      <c r="R75" s="14" t="s">
        <v>796</v>
      </c>
      <c r="S75" s="4" t="s">
        <v>468</v>
      </c>
      <c r="T75" s="19" t="s">
        <v>1521</v>
      </c>
      <c r="U75" s="19" t="s">
        <v>797</v>
      </c>
      <c r="V75" s="19" t="s">
        <v>805</v>
      </c>
      <c r="W75" s="32" t="s">
        <v>1522</v>
      </c>
      <c r="X75" s="29" t="s">
        <v>1523</v>
      </c>
      <c r="Y75" s="29" t="s">
        <v>1524</v>
      </c>
      <c r="Z75" s="29" t="s">
        <v>1525</v>
      </c>
      <c r="AA75" s="21" t="s">
        <v>806</v>
      </c>
      <c r="AB75" s="21" t="s">
        <v>802</v>
      </c>
      <c r="AC75" s="21" t="s">
        <v>807</v>
      </c>
      <c r="AD75" s="22" t="s">
        <v>787</v>
      </c>
      <c r="AE75" s="21" t="s">
        <v>803</v>
      </c>
      <c r="AF75" s="21" t="s">
        <v>788</v>
      </c>
      <c r="AG75" s="21" t="s">
        <v>761</v>
      </c>
      <c r="AH75" s="21"/>
      <c r="AI75" s="32" t="s">
        <v>1119</v>
      </c>
      <c r="AJ75" s="29" t="s">
        <v>796</v>
      </c>
      <c r="AK75" s="29" t="s">
        <v>1173</v>
      </c>
      <c r="AL75" s="29" t="s">
        <v>1118</v>
      </c>
      <c r="AM75" s="29" t="s">
        <v>1122</v>
      </c>
    </row>
    <row r="76" spans="1:39" ht="110" hidden="1" customHeight="1">
      <c r="A76" s="3" t="s">
        <v>485</v>
      </c>
      <c r="B76" s="3" t="s">
        <v>465</v>
      </c>
      <c r="C76" s="4" t="s">
        <v>808</v>
      </c>
      <c r="D76" s="4" t="s">
        <v>809</v>
      </c>
      <c r="E76" s="4" t="s">
        <v>810</v>
      </c>
      <c r="F76" s="4" t="s">
        <v>811</v>
      </c>
      <c r="G76" s="4" t="s">
        <v>812</v>
      </c>
      <c r="H76" s="4"/>
      <c r="I76" s="4" t="s">
        <v>813</v>
      </c>
      <c r="J76" s="5" t="s">
        <v>814</v>
      </c>
      <c r="K76" s="4" t="s">
        <v>815</v>
      </c>
      <c r="L76" s="4" t="s">
        <v>816</v>
      </c>
      <c r="M76" s="6" t="e">
        <f>HYPERLINK("C:/Users/paola/Tesis/04_Bibliography/01_Fenología y umbrales/10 fuentes faltantes/04_Neththasinghe_2025.pdf","Abrir PDF local")</f>
        <v>#VALUE!</v>
      </c>
      <c r="N76" s="6" t="e">
        <f>HYPERLINK("https://doi.org/10.1007/s11104-025-07814-8","Abrir DOI")</f>
        <v>#VALUE!</v>
      </c>
      <c r="O76" s="3" t="s">
        <v>817</v>
      </c>
      <c r="P76" s="4" t="s">
        <v>756</v>
      </c>
      <c r="Q76" s="7" t="s">
        <v>812</v>
      </c>
      <c r="R76" s="14" t="s">
        <v>808</v>
      </c>
      <c r="S76" s="41" t="s">
        <v>465</v>
      </c>
      <c r="T76" s="19" t="s">
        <v>1583</v>
      </c>
      <c r="U76" s="19" t="s">
        <v>810</v>
      </c>
      <c r="V76" s="19" t="s">
        <v>818</v>
      </c>
      <c r="W76" s="32" t="s">
        <v>1584</v>
      </c>
      <c r="X76" s="29" t="s">
        <v>1502</v>
      </c>
      <c r="Y76" s="29" t="s">
        <v>1585</v>
      </c>
      <c r="Z76" s="29" t="s">
        <v>1586</v>
      </c>
      <c r="AA76" s="21" t="s">
        <v>819</v>
      </c>
      <c r="AB76" s="21" t="s">
        <v>815</v>
      </c>
      <c r="AC76" s="21" t="s">
        <v>814</v>
      </c>
      <c r="AD76" s="22" t="s">
        <v>787</v>
      </c>
      <c r="AE76" s="21" t="s">
        <v>816</v>
      </c>
      <c r="AF76" s="21" t="s">
        <v>788</v>
      </c>
      <c r="AG76" s="21" t="s">
        <v>761</v>
      </c>
      <c r="AH76" s="21" t="s">
        <v>820</v>
      </c>
      <c r="AI76" s="31" t="s">
        <v>1174</v>
      </c>
      <c r="AJ76" s="29" t="s">
        <v>808</v>
      </c>
      <c r="AK76" s="29" t="s">
        <v>1175</v>
      </c>
      <c r="AL76" s="29" t="s">
        <v>1136</v>
      </c>
      <c r="AM76" s="29" t="s">
        <v>1093</v>
      </c>
    </row>
    <row r="77" spans="1:39" ht="110" hidden="1" customHeight="1">
      <c r="A77" s="3" t="s">
        <v>485</v>
      </c>
      <c r="B77" s="35" t="s">
        <v>468</v>
      </c>
      <c r="C77" s="36" t="s">
        <v>821</v>
      </c>
      <c r="D77" s="4" t="s">
        <v>822</v>
      </c>
      <c r="E77" s="4" t="s">
        <v>823</v>
      </c>
      <c r="F77" s="4" t="s">
        <v>824</v>
      </c>
      <c r="G77" s="4" t="s">
        <v>825</v>
      </c>
      <c r="H77" s="4"/>
      <c r="I77" s="4" t="s">
        <v>826</v>
      </c>
      <c r="J77" s="5" t="s">
        <v>827</v>
      </c>
      <c r="K77" s="4" t="s">
        <v>828</v>
      </c>
      <c r="L77" s="4" t="s">
        <v>829</v>
      </c>
      <c r="M77" s="6" t="s">
        <v>754</v>
      </c>
      <c r="N77" s="6" t="e">
        <f>HYPERLINK("https://doi.org/10.1002/agg2.20576","Abrir DOI")</f>
        <v>#VALUE!</v>
      </c>
      <c r="O77" s="3" t="s">
        <v>830</v>
      </c>
      <c r="P77" s="4" t="s">
        <v>756</v>
      </c>
      <c r="Q77" s="7" t="s">
        <v>825</v>
      </c>
      <c r="R77" s="14" t="s">
        <v>821</v>
      </c>
      <c r="S77" s="41" t="s">
        <v>468</v>
      </c>
      <c r="T77" s="19" t="s">
        <v>822</v>
      </c>
      <c r="U77" s="19" t="s">
        <v>823</v>
      </c>
      <c r="V77" s="19" t="s">
        <v>831</v>
      </c>
      <c r="W77" s="31" t="s">
        <v>1094</v>
      </c>
      <c r="X77" s="29" t="s">
        <v>1095</v>
      </c>
      <c r="Y77" s="29" t="s">
        <v>1096</v>
      </c>
      <c r="Z77" s="29" t="s">
        <v>1097</v>
      </c>
      <c r="AA77" s="21" t="s">
        <v>832</v>
      </c>
      <c r="AB77" s="21" t="s">
        <v>828</v>
      </c>
      <c r="AC77" s="21" t="s">
        <v>827</v>
      </c>
      <c r="AD77" s="22" t="s">
        <v>833</v>
      </c>
      <c r="AE77" s="21" t="s">
        <v>829</v>
      </c>
      <c r="AF77" s="23" t="s">
        <v>760</v>
      </c>
      <c r="AG77" s="21" t="s">
        <v>761</v>
      </c>
      <c r="AH77" s="21"/>
      <c r="AI77" s="31" t="s">
        <v>1098</v>
      </c>
      <c r="AJ77" s="29" t="s">
        <v>821</v>
      </c>
      <c r="AK77" s="29" t="s">
        <v>1099</v>
      </c>
      <c r="AL77" s="29" t="s">
        <v>1140</v>
      </c>
      <c r="AM77" s="29" t="s">
        <v>1093</v>
      </c>
    </row>
    <row r="78" spans="1:39" ht="110" hidden="1" customHeight="1">
      <c r="A78" s="3" t="s">
        <v>485</v>
      </c>
      <c r="B78" s="35" t="s">
        <v>473</v>
      </c>
      <c r="C78" s="36" t="s">
        <v>326</v>
      </c>
      <c r="D78" s="4" t="s">
        <v>834</v>
      </c>
      <c r="E78" s="4" t="s">
        <v>835</v>
      </c>
      <c r="F78" s="4" t="s">
        <v>836</v>
      </c>
      <c r="G78" s="4" t="s">
        <v>837</v>
      </c>
      <c r="H78" s="4" t="s">
        <v>838</v>
      </c>
      <c r="I78" s="4" t="s">
        <v>839</v>
      </c>
      <c r="J78" s="5" t="s">
        <v>840</v>
      </c>
      <c r="K78" s="4" t="s">
        <v>841</v>
      </c>
      <c r="L78" s="4" t="s">
        <v>842</v>
      </c>
      <c r="M78" s="6" t="e">
        <f>HYPERLINK("C:/Users/paola/Tesis/04_Bibliography/01_Fenología y umbrales/10 fuentes faltantes/06_Ravelombola_2022.pdf","Abrir PDF local")</f>
        <v>#VALUE!</v>
      </c>
      <c r="N78" s="6" t="e">
        <f>HYPERLINK("https://doi.org/10.3390/agronomy12051115","Abrir DOI")</f>
        <v>#VALUE!</v>
      </c>
      <c r="O78" s="3" t="s">
        <v>843</v>
      </c>
      <c r="P78" s="4" t="s">
        <v>756</v>
      </c>
      <c r="Q78" s="7" t="s">
        <v>837</v>
      </c>
      <c r="R78" s="14" t="s">
        <v>326</v>
      </c>
      <c r="S78" s="41" t="s">
        <v>473</v>
      </c>
      <c r="T78" s="19" t="s">
        <v>834</v>
      </c>
      <c r="U78" s="19" t="s">
        <v>835</v>
      </c>
      <c r="V78" s="19" t="s">
        <v>844</v>
      </c>
      <c r="W78" s="31" t="s">
        <v>1094</v>
      </c>
      <c r="X78" s="29" t="s">
        <v>1095</v>
      </c>
      <c r="Y78" s="29" t="s">
        <v>1096</v>
      </c>
      <c r="Z78" s="29" t="s">
        <v>1097</v>
      </c>
      <c r="AA78" s="21" t="s">
        <v>845</v>
      </c>
      <c r="AB78" s="21" t="s">
        <v>841</v>
      </c>
      <c r="AC78" s="21" t="s">
        <v>840</v>
      </c>
      <c r="AD78" s="22" t="s">
        <v>787</v>
      </c>
      <c r="AE78" s="21" t="s">
        <v>842</v>
      </c>
      <c r="AF78" s="21" t="s">
        <v>788</v>
      </c>
      <c r="AG78" s="21" t="s">
        <v>761</v>
      </c>
      <c r="AH78" s="21"/>
      <c r="AI78" s="31" t="s">
        <v>1098</v>
      </c>
      <c r="AJ78" s="29" t="s">
        <v>326</v>
      </c>
      <c r="AK78" s="29" t="s">
        <v>1099</v>
      </c>
      <c r="AL78" s="29" t="s">
        <v>1143</v>
      </c>
      <c r="AM78" s="29" t="s">
        <v>1093</v>
      </c>
    </row>
    <row r="79" spans="1:39" ht="110" hidden="1" customHeight="1">
      <c r="A79" s="3" t="s">
        <v>485</v>
      </c>
      <c r="B79" s="3" t="s">
        <v>471</v>
      </c>
      <c r="C79" s="4" t="s">
        <v>846</v>
      </c>
      <c r="D79" s="4" t="s">
        <v>674</v>
      </c>
      <c r="E79" s="4" t="s">
        <v>847</v>
      </c>
      <c r="F79" s="4" t="s">
        <v>848</v>
      </c>
      <c r="G79" s="4" t="s">
        <v>849</v>
      </c>
      <c r="H79" s="4"/>
      <c r="I79" s="4" t="s">
        <v>850</v>
      </c>
      <c r="J79" s="5" t="s">
        <v>851</v>
      </c>
      <c r="K79" s="4" t="s">
        <v>852</v>
      </c>
      <c r="L79" s="4" t="s">
        <v>853</v>
      </c>
      <c r="M79" s="6" t="s">
        <v>754</v>
      </c>
      <c r="N79" s="6" t="e">
        <f>HYPERLINK("https://doi.org/10.1016/S1161-0301(96)02011-4","Abrir DOI")</f>
        <v>#VALUE!</v>
      </c>
      <c r="O79" s="3" t="s">
        <v>854</v>
      </c>
      <c r="P79" s="4" t="s">
        <v>756</v>
      </c>
      <c r="Q79" s="7" t="s">
        <v>849</v>
      </c>
      <c r="R79" s="14" t="s">
        <v>846</v>
      </c>
      <c r="S79" s="41" t="s">
        <v>471</v>
      </c>
      <c r="T79" s="19" t="s">
        <v>1587</v>
      </c>
      <c r="U79" s="19" t="s">
        <v>847</v>
      </c>
      <c r="V79" s="19" t="s">
        <v>855</v>
      </c>
      <c r="W79" s="32" t="s">
        <v>1588</v>
      </c>
      <c r="X79" s="29" t="s">
        <v>1589</v>
      </c>
      <c r="Y79" s="29" t="s">
        <v>1590</v>
      </c>
      <c r="Z79" s="29" t="s">
        <v>1591</v>
      </c>
      <c r="AA79" s="21" t="s">
        <v>856</v>
      </c>
      <c r="AB79" s="21" t="s">
        <v>852</v>
      </c>
      <c r="AC79" s="21" t="s">
        <v>851</v>
      </c>
      <c r="AD79" s="22" t="s">
        <v>759</v>
      </c>
      <c r="AE79" s="21" t="s">
        <v>853</v>
      </c>
      <c r="AF79" s="23" t="s">
        <v>760</v>
      </c>
      <c r="AG79" s="21" t="s">
        <v>761</v>
      </c>
      <c r="AH79" s="21"/>
      <c r="AI79" s="31" t="s">
        <v>1090</v>
      </c>
      <c r="AJ79" s="29" t="s">
        <v>1176</v>
      </c>
      <c r="AK79" s="29" t="s">
        <v>1091</v>
      </c>
      <c r="AL79" s="29" t="s">
        <v>1141</v>
      </c>
      <c r="AM79" s="29" t="s">
        <v>1176</v>
      </c>
    </row>
    <row r="80" spans="1:39" ht="110" hidden="1" customHeight="1">
      <c r="A80" s="3" t="s">
        <v>485</v>
      </c>
      <c r="B80" s="3" t="s">
        <v>471</v>
      </c>
      <c r="C80" s="4" t="s">
        <v>846</v>
      </c>
      <c r="D80" s="4" t="s">
        <v>674</v>
      </c>
      <c r="E80" s="4" t="s">
        <v>857</v>
      </c>
      <c r="F80" s="4" t="s">
        <v>848</v>
      </c>
      <c r="G80" s="4" t="s">
        <v>849</v>
      </c>
      <c r="H80" s="4"/>
      <c r="I80" s="4" t="s">
        <v>850</v>
      </c>
      <c r="J80" s="5" t="s">
        <v>851</v>
      </c>
      <c r="K80" s="4" t="s">
        <v>852</v>
      </c>
      <c r="L80" s="4" t="s">
        <v>853</v>
      </c>
      <c r="M80" s="6" t="s">
        <v>754</v>
      </c>
      <c r="N80" s="6" t="e">
        <f>HYPERLINK("https://doi.org/10.1016/S1161-0301(96)02011-4","Abrir DOI")</f>
        <v>#VALUE!</v>
      </c>
      <c r="O80" s="3" t="s">
        <v>858</v>
      </c>
      <c r="P80" s="4" t="s">
        <v>756</v>
      </c>
      <c r="Q80" s="7" t="s">
        <v>849</v>
      </c>
      <c r="R80" s="14" t="s">
        <v>846</v>
      </c>
      <c r="S80" s="41" t="s">
        <v>471</v>
      </c>
      <c r="T80" s="19" t="s">
        <v>1587</v>
      </c>
      <c r="U80" s="19" t="s">
        <v>857</v>
      </c>
      <c r="V80" s="19" t="s">
        <v>855</v>
      </c>
      <c r="W80" s="32" t="s">
        <v>1588</v>
      </c>
      <c r="X80" s="29" t="s">
        <v>1589</v>
      </c>
      <c r="Y80" s="29" t="s">
        <v>1590</v>
      </c>
      <c r="Z80" s="29" t="s">
        <v>1591</v>
      </c>
      <c r="AA80" s="21" t="s">
        <v>856</v>
      </c>
      <c r="AB80" s="21" t="s">
        <v>852</v>
      </c>
      <c r="AC80" s="21" t="s">
        <v>851</v>
      </c>
      <c r="AD80" s="22" t="s">
        <v>759</v>
      </c>
      <c r="AE80" s="21" t="s">
        <v>853</v>
      </c>
      <c r="AF80" s="23" t="s">
        <v>760</v>
      </c>
      <c r="AG80" s="21" t="s">
        <v>761</v>
      </c>
      <c r="AH80" s="21"/>
      <c r="AI80" s="31" t="s">
        <v>1090</v>
      </c>
      <c r="AJ80" s="29" t="s">
        <v>1176</v>
      </c>
      <c r="AK80" s="29" t="s">
        <v>1091</v>
      </c>
      <c r="AL80" s="29" t="s">
        <v>1141</v>
      </c>
      <c r="AM80" s="29" t="s">
        <v>1176</v>
      </c>
    </row>
    <row r="81" spans="1:39" ht="110" hidden="1" customHeight="1">
      <c r="A81" s="3" t="s">
        <v>485</v>
      </c>
      <c r="B81" s="3" t="s">
        <v>859</v>
      </c>
      <c r="C81" s="4" t="s">
        <v>860</v>
      </c>
      <c r="D81" s="4" t="s">
        <v>861</v>
      </c>
      <c r="E81" s="4" t="s">
        <v>862</v>
      </c>
      <c r="F81" s="4" t="s">
        <v>863</v>
      </c>
      <c r="G81" s="4" t="s">
        <v>864</v>
      </c>
      <c r="H81" s="4" t="s">
        <v>865</v>
      </c>
      <c r="I81" s="4" t="s">
        <v>866</v>
      </c>
      <c r="J81" s="5" t="s">
        <v>867</v>
      </c>
      <c r="K81" s="4" t="s">
        <v>868</v>
      </c>
      <c r="L81" s="4" t="s">
        <v>869</v>
      </c>
      <c r="M81" s="6" t="e">
        <f>HYPERLINK("C:/Users/paola/Tesis/04_Bibliography/01_Fenología y umbrales/10 fuentes faltantes/09_Weerasekara_2021.pdf","Abrir PDF local")</f>
        <v>#VALUE!</v>
      </c>
      <c r="N81" s="6" t="e">
        <f>HYPERLINK("https://doi.org/10.3390/agronomy11071430","Abrir DOI")</f>
        <v>#VALUE!</v>
      </c>
      <c r="O81" s="3" t="s">
        <v>870</v>
      </c>
      <c r="P81" s="4" t="s">
        <v>756</v>
      </c>
      <c r="Q81" s="7" t="s">
        <v>864</v>
      </c>
      <c r="R81" s="14" t="s">
        <v>860</v>
      </c>
      <c r="S81" s="4" t="s">
        <v>479</v>
      </c>
      <c r="T81" s="19" t="s">
        <v>1592</v>
      </c>
      <c r="U81" s="19" t="s">
        <v>862</v>
      </c>
      <c r="V81" s="19" t="s">
        <v>871</v>
      </c>
      <c r="W81" s="32" t="s">
        <v>1593</v>
      </c>
      <c r="X81" s="29" t="s">
        <v>1545</v>
      </c>
      <c r="Y81" s="29" t="s">
        <v>1594</v>
      </c>
      <c r="Z81" s="29" t="s">
        <v>1595</v>
      </c>
      <c r="AA81" s="21" t="s">
        <v>872</v>
      </c>
      <c r="AB81" s="21" t="s">
        <v>868</v>
      </c>
      <c r="AC81" s="21" t="s">
        <v>867</v>
      </c>
      <c r="AD81" s="22" t="s">
        <v>787</v>
      </c>
      <c r="AE81" s="21" t="s">
        <v>869</v>
      </c>
      <c r="AF81" s="21" t="s">
        <v>788</v>
      </c>
      <c r="AG81" s="21" t="s">
        <v>761</v>
      </c>
      <c r="AH81" s="21"/>
      <c r="AI81" s="32" t="s">
        <v>1177</v>
      </c>
      <c r="AJ81" s="29" t="s">
        <v>1596</v>
      </c>
      <c r="AK81" s="29" t="s">
        <v>1178</v>
      </c>
      <c r="AL81" s="29" t="s">
        <v>1148</v>
      </c>
      <c r="AM81" s="29" t="s">
        <v>1179</v>
      </c>
    </row>
    <row r="82" spans="1:39" ht="110" hidden="1" customHeight="1">
      <c r="A82" s="3" t="s">
        <v>486</v>
      </c>
      <c r="B82" s="3" t="s">
        <v>465</v>
      </c>
      <c r="C82" s="4" t="s">
        <v>873</v>
      </c>
      <c r="D82" s="4" t="s">
        <v>874</v>
      </c>
      <c r="E82" s="4" t="s">
        <v>875</v>
      </c>
      <c r="F82" s="4" t="s">
        <v>824</v>
      </c>
      <c r="G82" s="4" t="s">
        <v>876</v>
      </c>
      <c r="H82" s="4"/>
      <c r="I82" s="4" t="s">
        <v>877</v>
      </c>
      <c r="J82" s="5" t="s">
        <v>878</v>
      </c>
      <c r="K82" s="4" t="s">
        <v>879</v>
      </c>
      <c r="L82" s="4" t="s">
        <v>880</v>
      </c>
      <c r="M82" s="6" t="e">
        <f>HYPERLINK("C:/Users/paola/Tesis/04_Bibliography/01_Fenología y umbrales/10 fuentes faltantes/10_Sharma_2022.pdf","Abrir PDF local")</f>
        <v>#VALUE!</v>
      </c>
      <c r="N82" s="6" t="e">
        <f>HYPERLINK("https://doi.org/10.3390/agriculture12091500","Abrir DOI")</f>
        <v>#VALUE!</v>
      </c>
      <c r="O82" s="3" t="s">
        <v>881</v>
      </c>
      <c r="P82" s="4" t="s">
        <v>756</v>
      </c>
      <c r="Q82" s="7" t="s">
        <v>876</v>
      </c>
      <c r="R82" s="14" t="s">
        <v>873</v>
      </c>
      <c r="S82" s="41" t="s">
        <v>465</v>
      </c>
      <c r="T82" s="19" t="s">
        <v>1531</v>
      </c>
      <c r="U82" s="19" t="s">
        <v>875</v>
      </c>
      <c r="V82" s="19" t="s">
        <v>882</v>
      </c>
      <c r="W82" s="32" t="s">
        <v>1532</v>
      </c>
      <c r="X82" s="29" t="s">
        <v>1533</v>
      </c>
      <c r="Y82" s="29" t="s">
        <v>1534</v>
      </c>
      <c r="Z82" s="29" t="s">
        <v>1535</v>
      </c>
      <c r="AA82" s="21" t="s">
        <v>883</v>
      </c>
      <c r="AB82" s="21" t="s">
        <v>879</v>
      </c>
      <c r="AC82" s="21" t="s">
        <v>878</v>
      </c>
      <c r="AD82" s="22" t="s">
        <v>787</v>
      </c>
      <c r="AE82" s="21" t="s">
        <v>880</v>
      </c>
      <c r="AF82" s="21" t="s">
        <v>788</v>
      </c>
      <c r="AG82" s="21" t="s">
        <v>761</v>
      </c>
      <c r="AH82" s="21"/>
      <c r="AI82" s="31" t="s">
        <v>1101</v>
      </c>
      <c r="AJ82" s="29" t="s">
        <v>873</v>
      </c>
      <c r="AK82" s="29" t="s">
        <v>1102</v>
      </c>
      <c r="AL82" s="29" t="s">
        <v>1152</v>
      </c>
      <c r="AM82" s="29" t="s">
        <v>1093</v>
      </c>
    </row>
    <row r="83" spans="1:39" ht="110" hidden="1" customHeight="1">
      <c r="A83" s="3" t="s">
        <v>486</v>
      </c>
      <c r="B83" s="3" t="s">
        <v>465</v>
      </c>
      <c r="C83" s="4" t="s">
        <v>873</v>
      </c>
      <c r="D83" s="4" t="s">
        <v>874</v>
      </c>
      <c r="E83" s="4" t="s">
        <v>884</v>
      </c>
      <c r="F83" s="4" t="s">
        <v>824</v>
      </c>
      <c r="G83" s="4" t="s">
        <v>876</v>
      </c>
      <c r="H83" s="4"/>
      <c r="I83" s="4" t="s">
        <v>877</v>
      </c>
      <c r="J83" s="5" t="s">
        <v>878</v>
      </c>
      <c r="K83" s="4" t="s">
        <v>879</v>
      </c>
      <c r="L83" s="4" t="s">
        <v>880</v>
      </c>
      <c r="M83" s="6" t="e">
        <f>HYPERLINK("C:/Users/paola/Tesis/04_Bibliography/01_Fenología y umbrales/10 fuentes faltantes/10_Sharma_2022.pdf","Abrir PDF local")</f>
        <v>#VALUE!</v>
      </c>
      <c r="N83" s="6" t="e">
        <f>HYPERLINK("https://doi.org/10.3390/agriculture12091500","Abrir DOI")</f>
        <v>#VALUE!</v>
      </c>
      <c r="O83" s="3" t="s">
        <v>885</v>
      </c>
      <c r="P83" s="4" t="s">
        <v>756</v>
      </c>
      <c r="Q83" s="7" t="s">
        <v>876</v>
      </c>
      <c r="R83" s="14" t="s">
        <v>873</v>
      </c>
      <c r="S83" s="41" t="s">
        <v>465</v>
      </c>
      <c r="T83" s="19" t="s">
        <v>1531</v>
      </c>
      <c r="U83" s="19" t="s">
        <v>884</v>
      </c>
      <c r="V83" s="19" t="s">
        <v>882</v>
      </c>
      <c r="W83" s="32" t="s">
        <v>1532</v>
      </c>
      <c r="X83" s="29" t="s">
        <v>1533</v>
      </c>
      <c r="Y83" s="29" t="s">
        <v>1534</v>
      </c>
      <c r="Z83" s="29" t="s">
        <v>1535</v>
      </c>
      <c r="AA83" s="21" t="s">
        <v>883</v>
      </c>
      <c r="AB83" s="21" t="s">
        <v>879</v>
      </c>
      <c r="AC83" s="21" t="s">
        <v>878</v>
      </c>
      <c r="AD83" s="22" t="s">
        <v>787</v>
      </c>
      <c r="AE83" s="21" t="s">
        <v>880</v>
      </c>
      <c r="AF83" s="21" t="s">
        <v>788</v>
      </c>
      <c r="AG83" s="21" t="s">
        <v>761</v>
      </c>
      <c r="AH83" s="21"/>
      <c r="AI83" s="31" t="s">
        <v>1101</v>
      </c>
      <c r="AJ83" s="29" t="s">
        <v>873</v>
      </c>
      <c r="AK83" s="29" t="s">
        <v>1102</v>
      </c>
      <c r="AL83" s="29" t="s">
        <v>1152</v>
      </c>
      <c r="AM83" s="29" t="s">
        <v>1093</v>
      </c>
    </row>
    <row r="84" spans="1:39" ht="110" hidden="1" customHeight="1">
      <c r="A84" s="3" t="s">
        <v>486</v>
      </c>
      <c r="B84" s="35" t="s">
        <v>886</v>
      </c>
      <c r="C84" s="36" t="s">
        <v>887</v>
      </c>
      <c r="D84" s="4" t="s">
        <v>888</v>
      </c>
      <c r="E84" s="4" t="s">
        <v>889</v>
      </c>
      <c r="F84" s="4" t="s">
        <v>890</v>
      </c>
      <c r="G84" s="4" t="s">
        <v>891</v>
      </c>
      <c r="H84" s="4"/>
      <c r="I84" s="4" t="s">
        <v>892</v>
      </c>
      <c r="J84" s="5" t="s">
        <v>893</v>
      </c>
      <c r="K84" s="4" t="s">
        <v>894</v>
      </c>
      <c r="L84" s="4" t="s">
        <v>895</v>
      </c>
      <c r="M84" s="6" t="e">
        <f>HYPERLINK("C:/Users/paola/Tesis/04_Bibliography/01_Fenología y umbrales/10 fuentes faltantes/11_Chen_2022.pdf","Abrir PDF local")</f>
        <v>#VALUE!</v>
      </c>
      <c r="N84" s="6" t="e">
        <f>HYPERLINK("https://doi.org/10.3390/atmos13040596","Abrir DOI")</f>
        <v>#VALUE!</v>
      </c>
      <c r="O84" s="3" t="s">
        <v>896</v>
      </c>
      <c r="P84" s="4" t="s">
        <v>756</v>
      </c>
      <c r="Q84" s="7" t="s">
        <v>891</v>
      </c>
      <c r="R84" s="14" t="s">
        <v>887</v>
      </c>
      <c r="S84" s="41" t="s">
        <v>468</v>
      </c>
      <c r="T84" s="19" t="s">
        <v>888</v>
      </c>
      <c r="U84" s="19" t="s">
        <v>889</v>
      </c>
      <c r="V84" s="19" t="s">
        <v>897</v>
      </c>
      <c r="W84" s="31" t="s">
        <v>1094</v>
      </c>
      <c r="X84" s="29" t="s">
        <v>1095</v>
      </c>
      <c r="Y84" s="29" t="s">
        <v>1096</v>
      </c>
      <c r="Z84" s="29" t="s">
        <v>1097</v>
      </c>
      <c r="AA84" s="21" t="s">
        <v>898</v>
      </c>
      <c r="AB84" s="21" t="s">
        <v>894</v>
      </c>
      <c r="AC84" s="21" t="s">
        <v>893</v>
      </c>
      <c r="AD84" s="22" t="s">
        <v>787</v>
      </c>
      <c r="AE84" s="21" t="s">
        <v>895</v>
      </c>
      <c r="AF84" s="21" t="s">
        <v>788</v>
      </c>
      <c r="AG84" s="21" t="s">
        <v>761</v>
      </c>
      <c r="AH84" s="21"/>
      <c r="AI84" s="31" t="s">
        <v>1098</v>
      </c>
      <c r="AJ84" s="29" t="s">
        <v>1597</v>
      </c>
      <c r="AK84" s="29" t="s">
        <v>1099</v>
      </c>
      <c r="AL84" s="29" t="s">
        <v>1180</v>
      </c>
      <c r="AM84" s="29" t="s">
        <v>1093</v>
      </c>
    </row>
    <row r="85" spans="1:39" ht="110" hidden="1" customHeight="1">
      <c r="A85" s="3" t="s">
        <v>486</v>
      </c>
      <c r="B85" s="35" t="s">
        <v>886</v>
      </c>
      <c r="C85" s="36" t="s">
        <v>887</v>
      </c>
      <c r="D85" s="4" t="s">
        <v>888</v>
      </c>
      <c r="E85" s="4" t="s">
        <v>899</v>
      </c>
      <c r="F85" s="4" t="s">
        <v>890</v>
      </c>
      <c r="G85" s="4" t="s">
        <v>891</v>
      </c>
      <c r="H85" s="4"/>
      <c r="I85" s="4" t="s">
        <v>892</v>
      </c>
      <c r="J85" s="5" t="s">
        <v>893</v>
      </c>
      <c r="K85" s="4" t="s">
        <v>894</v>
      </c>
      <c r="L85" s="4" t="s">
        <v>895</v>
      </c>
      <c r="M85" s="6" t="e">
        <f>HYPERLINK("C:/Users/paola/Tesis/04_Bibliography/01_Fenología y umbrales/10 fuentes faltantes/11_Chen_2022.pdf","Abrir PDF local")</f>
        <v>#VALUE!</v>
      </c>
      <c r="N85" s="6" t="e">
        <f>HYPERLINK("https://doi.org/10.3390/atmos13040596","Abrir DOI")</f>
        <v>#VALUE!</v>
      </c>
      <c r="O85" s="3" t="s">
        <v>900</v>
      </c>
      <c r="P85" s="4" t="s">
        <v>756</v>
      </c>
      <c r="Q85" s="7" t="s">
        <v>891</v>
      </c>
      <c r="R85" s="14" t="s">
        <v>887</v>
      </c>
      <c r="S85" s="41" t="s">
        <v>468</v>
      </c>
      <c r="T85" s="19" t="s">
        <v>888</v>
      </c>
      <c r="U85" s="19" t="s">
        <v>899</v>
      </c>
      <c r="V85" s="19" t="s">
        <v>897</v>
      </c>
      <c r="W85" s="31" t="s">
        <v>1094</v>
      </c>
      <c r="X85" s="29" t="s">
        <v>1095</v>
      </c>
      <c r="Y85" s="29" t="s">
        <v>1096</v>
      </c>
      <c r="Z85" s="29" t="s">
        <v>1097</v>
      </c>
      <c r="AA85" s="21" t="s">
        <v>898</v>
      </c>
      <c r="AB85" s="21" t="s">
        <v>894</v>
      </c>
      <c r="AC85" s="21" t="s">
        <v>893</v>
      </c>
      <c r="AD85" s="22" t="s">
        <v>787</v>
      </c>
      <c r="AE85" s="21" t="s">
        <v>895</v>
      </c>
      <c r="AF85" s="21" t="s">
        <v>788</v>
      </c>
      <c r="AG85" s="21" t="s">
        <v>761</v>
      </c>
      <c r="AH85" s="21"/>
      <c r="AI85" s="31" t="s">
        <v>1098</v>
      </c>
      <c r="AJ85" s="29" t="s">
        <v>1597</v>
      </c>
      <c r="AK85" s="29" t="s">
        <v>1099</v>
      </c>
      <c r="AL85" s="29" t="s">
        <v>1180</v>
      </c>
      <c r="AM85" s="29" t="s">
        <v>1093</v>
      </c>
    </row>
    <row r="86" spans="1:39" ht="110" hidden="1" customHeight="1">
      <c r="A86" s="3" t="s">
        <v>485</v>
      </c>
      <c r="B86" s="3" t="s">
        <v>471</v>
      </c>
      <c r="C86" s="4" t="s">
        <v>901</v>
      </c>
      <c r="D86" s="4" t="s">
        <v>902</v>
      </c>
      <c r="E86" s="4" t="s">
        <v>903</v>
      </c>
      <c r="F86" s="4" t="s">
        <v>904</v>
      </c>
      <c r="G86" s="4" t="s">
        <v>905</v>
      </c>
      <c r="H86" s="4" t="s">
        <v>906</v>
      </c>
      <c r="I86" s="4" t="s">
        <v>907</v>
      </c>
      <c r="J86" s="5" t="s">
        <v>908</v>
      </c>
      <c r="K86" s="4" t="s">
        <v>909</v>
      </c>
      <c r="L86" s="4" t="s">
        <v>910</v>
      </c>
      <c r="M86" s="6" t="s">
        <v>754</v>
      </c>
      <c r="N86" s="6" t="e">
        <f>HYPERLINK("https://doi.org/10.1111/pce.13421","Abrir DOI")</f>
        <v>#VALUE!</v>
      </c>
      <c r="O86" s="3" t="s">
        <v>911</v>
      </c>
      <c r="P86" s="4" t="s">
        <v>756</v>
      </c>
      <c r="Q86" s="7" t="s">
        <v>905</v>
      </c>
      <c r="R86" s="14" t="s">
        <v>901</v>
      </c>
      <c r="S86" s="41" t="s">
        <v>471</v>
      </c>
      <c r="T86" s="19" t="s">
        <v>1510</v>
      </c>
      <c r="U86" s="19" t="s">
        <v>903</v>
      </c>
      <c r="V86" s="19" t="s">
        <v>912</v>
      </c>
      <c r="W86" s="32" t="s">
        <v>1511</v>
      </c>
      <c r="X86" s="29" t="s">
        <v>1512</v>
      </c>
      <c r="Y86" s="29" t="s">
        <v>1513</v>
      </c>
      <c r="Z86" s="29" t="s">
        <v>1514</v>
      </c>
      <c r="AA86" s="21" t="s">
        <v>913</v>
      </c>
      <c r="AB86" s="21" t="s">
        <v>909</v>
      </c>
      <c r="AC86" s="21" t="s">
        <v>908</v>
      </c>
      <c r="AD86" s="22" t="s">
        <v>914</v>
      </c>
      <c r="AE86" s="21" t="s">
        <v>910</v>
      </c>
      <c r="AF86" s="23" t="s">
        <v>760</v>
      </c>
      <c r="AG86" s="21" t="s">
        <v>761</v>
      </c>
      <c r="AH86" s="21"/>
      <c r="AI86" s="31" t="s">
        <v>1101</v>
      </c>
      <c r="AJ86" s="29" t="s">
        <v>901</v>
      </c>
      <c r="AK86" s="29" t="s">
        <v>1102</v>
      </c>
      <c r="AL86" s="29" t="s">
        <v>1141</v>
      </c>
      <c r="AM86" s="29" t="s">
        <v>1093</v>
      </c>
    </row>
    <row r="87" spans="1:39" ht="110" hidden="1" customHeight="1">
      <c r="A87" s="3" t="s">
        <v>485</v>
      </c>
      <c r="B87" s="35" t="s">
        <v>468</v>
      </c>
      <c r="C87" s="36" t="s">
        <v>915</v>
      </c>
      <c r="D87" s="4" t="s">
        <v>916</v>
      </c>
      <c r="E87" s="4" t="s">
        <v>917</v>
      </c>
      <c r="F87" s="4" t="s">
        <v>918</v>
      </c>
      <c r="G87" s="4" t="s">
        <v>919</v>
      </c>
      <c r="H87" s="4" t="s">
        <v>920</v>
      </c>
      <c r="I87" s="4" t="s">
        <v>921</v>
      </c>
      <c r="J87" s="5" t="s">
        <v>922</v>
      </c>
      <c r="K87" s="4" t="s">
        <v>923</v>
      </c>
      <c r="L87" s="4" t="s">
        <v>924</v>
      </c>
      <c r="M87" s="6" t="e">
        <f>HYPERLINK("C:/Users/paola/Tesis/04_Bibliography/01_Fenología y umbrales/10 fuentes faltantes/12_Martins_2022.pdf","Abrir PDF local")</f>
        <v>#VALUE!</v>
      </c>
      <c r="N87" s="6" t="e">
        <f>HYPERLINK("https://doi.org/10.5433/1679-0359.2022v43n6p2449","Abrir DOI")</f>
        <v>#VALUE!</v>
      </c>
      <c r="O87" s="3" t="s">
        <v>925</v>
      </c>
      <c r="P87" s="4" t="s">
        <v>756</v>
      </c>
      <c r="Q87" s="7" t="s">
        <v>919</v>
      </c>
      <c r="R87" s="14" t="s">
        <v>915</v>
      </c>
      <c r="S87" s="41" t="s">
        <v>468</v>
      </c>
      <c r="T87" s="19" t="s">
        <v>916</v>
      </c>
      <c r="U87" s="19" t="s">
        <v>917</v>
      </c>
      <c r="V87" s="19" t="s">
        <v>926</v>
      </c>
      <c r="W87" s="31" t="s">
        <v>1094</v>
      </c>
      <c r="X87" s="29" t="s">
        <v>1095</v>
      </c>
      <c r="Y87" s="29" t="s">
        <v>1096</v>
      </c>
      <c r="Z87" s="29" t="s">
        <v>1097</v>
      </c>
      <c r="AA87" s="21" t="s">
        <v>927</v>
      </c>
      <c r="AB87" s="21" t="s">
        <v>923</v>
      </c>
      <c r="AC87" s="21" t="s">
        <v>922</v>
      </c>
      <c r="AD87" s="22" t="s">
        <v>787</v>
      </c>
      <c r="AE87" s="21" t="s">
        <v>924</v>
      </c>
      <c r="AF87" s="21" t="s">
        <v>788</v>
      </c>
      <c r="AG87" s="21" t="s">
        <v>761</v>
      </c>
      <c r="AH87" s="21"/>
      <c r="AI87" s="31" t="s">
        <v>1098</v>
      </c>
      <c r="AJ87" s="29" t="s">
        <v>915</v>
      </c>
      <c r="AK87" s="29" t="s">
        <v>1099</v>
      </c>
      <c r="AL87" s="29" t="s">
        <v>1140</v>
      </c>
      <c r="AM87" s="29" t="s">
        <v>1093</v>
      </c>
    </row>
    <row r="88" spans="1:39" ht="110" hidden="1" customHeight="1">
      <c r="A88" s="3" t="s">
        <v>483</v>
      </c>
      <c r="B88" s="3" t="s">
        <v>471</v>
      </c>
      <c r="C88" s="4" t="s">
        <v>928</v>
      </c>
      <c r="D88" s="4" t="s">
        <v>929</v>
      </c>
      <c r="E88" s="4" t="s">
        <v>930</v>
      </c>
      <c r="F88" s="4" t="s">
        <v>931</v>
      </c>
      <c r="G88" s="4" t="s">
        <v>932</v>
      </c>
      <c r="H88" s="4" t="s">
        <v>933</v>
      </c>
      <c r="I88" s="4" t="s">
        <v>934</v>
      </c>
      <c r="J88" s="5" t="s">
        <v>935</v>
      </c>
      <c r="K88" s="4" t="s">
        <v>936</v>
      </c>
      <c r="L88" s="4" t="s">
        <v>937</v>
      </c>
      <c r="M88" s="6" t="s">
        <v>754</v>
      </c>
      <c r="N88" s="6" t="e">
        <f>HYPERLINK("https://doi.org/10.1088/1748-9326/ab7b22","Abrir DOI")</f>
        <v>#VALUE!</v>
      </c>
      <c r="O88" s="3" t="s">
        <v>938</v>
      </c>
      <c r="P88" s="4" t="s">
        <v>756</v>
      </c>
      <c r="Q88" s="7" t="s">
        <v>932</v>
      </c>
      <c r="R88" s="14" t="s">
        <v>928</v>
      </c>
      <c r="S88" s="41" t="s">
        <v>471</v>
      </c>
      <c r="T88" s="19" t="s">
        <v>1598</v>
      </c>
      <c r="U88" s="19" t="s">
        <v>930</v>
      </c>
      <c r="V88" s="19" t="s">
        <v>939</v>
      </c>
      <c r="W88" s="32" t="s">
        <v>1599</v>
      </c>
      <c r="X88" s="29" t="s">
        <v>1600</v>
      </c>
      <c r="Y88" s="29" t="s">
        <v>1601</v>
      </c>
      <c r="Z88" s="29" t="s">
        <v>1602</v>
      </c>
      <c r="AA88" s="21" t="s">
        <v>940</v>
      </c>
      <c r="AB88" s="21" t="s">
        <v>936</v>
      </c>
      <c r="AC88" s="21" t="s">
        <v>935</v>
      </c>
      <c r="AD88" s="22" t="s">
        <v>759</v>
      </c>
      <c r="AE88" s="21" t="s">
        <v>937</v>
      </c>
      <c r="AF88" s="23" t="s">
        <v>760</v>
      </c>
      <c r="AG88" s="21" t="s">
        <v>761</v>
      </c>
      <c r="AH88" s="21"/>
      <c r="AI88" s="31" t="s">
        <v>1133</v>
      </c>
      <c r="AJ88" s="29" t="s">
        <v>928</v>
      </c>
      <c r="AK88" s="29" t="s">
        <v>1135</v>
      </c>
      <c r="AL88" s="29" t="s">
        <v>1181</v>
      </c>
      <c r="AM88" s="29" t="s">
        <v>1093</v>
      </c>
    </row>
    <row r="89" spans="1:39" ht="380" hidden="1" customHeight="1">
      <c r="A89" s="34" t="s">
        <v>483</v>
      </c>
      <c r="B89" s="34" t="s">
        <v>1182</v>
      </c>
      <c r="C89" s="34" t="s">
        <v>1183</v>
      </c>
      <c r="D89" s="34" t="s">
        <v>1184</v>
      </c>
      <c r="E89" s="34" t="s">
        <v>1185</v>
      </c>
      <c r="F89" s="34" t="s">
        <v>1186</v>
      </c>
      <c r="G89" s="34" t="s">
        <v>1187</v>
      </c>
      <c r="H89" s="34" t="s">
        <v>1188</v>
      </c>
      <c r="I89" s="34" t="s">
        <v>1189</v>
      </c>
      <c r="J89" s="34" t="s">
        <v>1190</v>
      </c>
      <c r="K89" s="34" t="s">
        <v>1191</v>
      </c>
      <c r="L89" s="34" t="s">
        <v>1192</v>
      </c>
      <c r="M89" s="34" t="s">
        <v>1193</v>
      </c>
      <c r="N89" s="34" t="s">
        <v>1194</v>
      </c>
      <c r="O89" s="34" t="s">
        <v>1195</v>
      </c>
      <c r="P89" s="34" t="s">
        <v>31</v>
      </c>
      <c r="Q89" s="34" t="s">
        <v>1196</v>
      </c>
      <c r="R89" s="34" t="s">
        <v>1183</v>
      </c>
      <c r="S89" s="34" t="s">
        <v>471</v>
      </c>
      <c r="T89" s="34" t="s">
        <v>1521</v>
      </c>
      <c r="U89" s="34" t="s">
        <v>1185</v>
      </c>
      <c r="V89" s="34" t="s">
        <v>1197</v>
      </c>
      <c r="W89" s="32" t="s">
        <v>1522</v>
      </c>
      <c r="X89" s="29" t="s">
        <v>1523</v>
      </c>
      <c r="Y89" s="29" t="s">
        <v>1524</v>
      </c>
      <c r="Z89" s="29" t="s">
        <v>1525</v>
      </c>
      <c r="AA89" s="29" t="s">
        <v>1198</v>
      </c>
      <c r="AB89" s="29" t="s">
        <v>1357</v>
      </c>
      <c r="AC89" s="29" t="s">
        <v>1358</v>
      </c>
      <c r="AD89" s="29" t="s">
        <v>1359</v>
      </c>
      <c r="AE89" s="29" t="s">
        <v>1199</v>
      </c>
      <c r="AF89" s="29" t="s">
        <v>1200</v>
      </c>
      <c r="AG89" s="29" t="s">
        <v>1201</v>
      </c>
      <c r="AH89" s="29" t="s">
        <v>1202</v>
      </c>
      <c r="AI89" s="32" t="s">
        <v>1199</v>
      </c>
      <c r="AJ89" s="29" t="s">
        <v>1603</v>
      </c>
      <c r="AK89" s="29" t="s">
        <v>1203</v>
      </c>
      <c r="AL89" s="29" t="s">
        <v>1204</v>
      </c>
      <c r="AM89" s="29" t="s">
        <v>1192</v>
      </c>
    </row>
    <row r="90" spans="1:39" ht="380" hidden="1" customHeight="1">
      <c r="A90" s="34" t="s">
        <v>483</v>
      </c>
      <c r="B90" s="34" t="s">
        <v>476</v>
      </c>
      <c r="C90" s="34" t="s">
        <v>1205</v>
      </c>
      <c r="D90" s="34" t="s">
        <v>1184</v>
      </c>
      <c r="E90" s="34" t="s">
        <v>1206</v>
      </c>
      <c r="F90" s="34" t="s">
        <v>1186</v>
      </c>
      <c r="G90" s="34" t="s">
        <v>1187</v>
      </c>
      <c r="H90" s="34" t="s">
        <v>1188</v>
      </c>
      <c r="I90" s="34" t="s">
        <v>1189</v>
      </c>
      <c r="J90" s="34" t="s">
        <v>1190</v>
      </c>
      <c r="K90" s="34" t="s">
        <v>1191</v>
      </c>
      <c r="L90" s="34" t="s">
        <v>1207</v>
      </c>
      <c r="M90" s="34" t="s">
        <v>1193</v>
      </c>
      <c r="N90" s="34" t="s">
        <v>1194</v>
      </c>
      <c r="O90" s="34" t="s">
        <v>1208</v>
      </c>
      <c r="P90" s="34" t="s">
        <v>31</v>
      </c>
      <c r="Q90" s="34" t="s">
        <v>1196</v>
      </c>
      <c r="R90" s="34" t="s">
        <v>1205</v>
      </c>
      <c r="S90" s="34" t="s">
        <v>476</v>
      </c>
      <c r="T90" s="34" t="s">
        <v>1521</v>
      </c>
      <c r="U90" s="34" t="s">
        <v>1206</v>
      </c>
      <c r="V90" s="34" t="s">
        <v>1197</v>
      </c>
      <c r="W90" s="32" t="s">
        <v>1522</v>
      </c>
      <c r="X90" s="29" t="s">
        <v>1523</v>
      </c>
      <c r="Y90" s="29" t="s">
        <v>1524</v>
      </c>
      <c r="Z90" s="29" t="s">
        <v>1525</v>
      </c>
      <c r="AA90" s="29" t="s">
        <v>1198</v>
      </c>
      <c r="AB90" s="29" t="s">
        <v>1357</v>
      </c>
      <c r="AC90" s="29" t="s">
        <v>1358</v>
      </c>
      <c r="AD90" s="29" t="s">
        <v>1359</v>
      </c>
      <c r="AE90" s="29" t="s">
        <v>1209</v>
      </c>
      <c r="AF90" s="29" t="s">
        <v>1200</v>
      </c>
      <c r="AG90" s="29" t="s">
        <v>1201</v>
      </c>
      <c r="AH90" s="29" t="s">
        <v>1202</v>
      </c>
      <c r="AI90" s="32" t="s">
        <v>1209</v>
      </c>
      <c r="AJ90" s="29" t="s">
        <v>1205</v>
      </c>
      <c r="AK90" s="29" t="s">
        <v>1210</v>
      </c>
      <c r="AL90" s="29" t="s">
        <v>1106</v>
      </c>
      <c r="AM90" s="29" t="s">
        <v>1207</v>
      </c>
    </row>
    <row r="91" spans="1:39" ht="100" customHeight="1">
      <c r="A91" s="34" t="s">
        <v>484</v>
      </c>
      <c r="B91" s="34" t="s">
        <v>465</v>
      </c>
      <c r="C91" s="34" t="s">
        <v>1211</v>
      </c>
      <c r="D91" s="34" t="s">
        <v>1184</v>
      </c>
      <c r="E91" s="34" t="s">
        <v>1212</v>
      </c>
      <c r="F91" s="34" t="s">
        <v>1213</v>
      </c>
      <c r="G91" s="34" t="s">
        <v>1187</v>
      </c>
      <c r="H91" s="34" t="s">
        <v>1188</v>
      </c>
      <c r="I91" s="34" t="s">
        <v>1214</v>
      </c>
      <c r="J91" s="34" t="s">
        <v>1215</v>
      </c>
      <c r="K91" s="34" t="s">
        <v>1191</v>
      </c>
      <c r="L91" s="34" t="s">
        <v>1216</v>
      </c>
      <c r="M91" s="34" t="s">
        <v>1217</v>
      </c>
      <c r="N91" s="34" t="s">
        <v>1194</v>
      </c>
      <c r="O91" s="34" t="s">
        <v>1218</v>
      </c>
      <c r="P91" s="34" t="s">
        <v>31</v>
      </c>
      <c r="Q91" s="34" t="s">
        <v>1196</v>
      </c>
      <c r="R91" s="34" t="s">
        <v>1211</v>
      </c>
      <c r="S91" s="34" t="s">
        <v>465</v>
      </c>
      <c r="T91" s="34" t="s">
        <v>1536</v>
      </c>
      <c r="U91" s="34" t="s">
        <v>1212</v>
      </c>
      <c r="V91" s="34" t="s">
        <v>1219</v>
      </c>
      <c r="W91" s="32" t="s">
        <v>1537</v>
      </c>
      <c r="X91" s="29" t="s">
        <v>1538</v>
      </c>
      <c r="Y91" s="29" t="s">
        <v>1539</v>
      </c>
      <c r="Z91" s="29" t="s">
        <v>1540</v>
      </c>
      <c r="AA91" s="29" t="s">
        <v>1220</v>
      </c>
      <c r="AB91" s="29" t="s">
        <v>1360</v>
      </c>
      <c r="AC91" s="29" t="s">
        <v>1361</v>
      </c>
      <c r="AD91" s="29" t="s">
        <v>1362</v>
      </c>
      <c r="AE91" s="29" t="s">
        <v>1221</v>
      </c>
      <c r="AF91" s="29" t="s">
        <v>1222</v>
      </c>
      <c r="AG91" s="29" t="s">
        <v>1201</v>
      </c>
      <c r="AH91" s="29" t="s">
        <v>1223</v>
      </c>
      <c r="AI91" s="32" t="s">
        <v>1221</v>
      </c>
      <c r="AJ91" s="29" t="s">
        <v>1211</v>
      </c>
      <c r="AK91" s="29" t="s">
        <v>1224</v>
      </c>
      <c r="AL91" s="29" t="s">
        <v>1111</v>
      </c>
      <c r="AM91" s="29" t="s">
        <v>1216</v>
      </c>
    </row>
    <row r="92" spans="1:39" ht="100" customHeight="1">
      <c r="A92" s="34" t="s">
        <v>484</v>
      </c>
      <c r="B92" s="34" t="s">
        <v>1225</v>
      </c>
      <c r="C92" s="34" t="s">
        <v>1226</v>
      </c>
      <c r="D92" s="34" t="s">
        <v>1184</v>
      </c>
      <c r="E92" s="34" t="s">
        <v>1227</v>
      </c>
      <c r="F92" s="34" t="s">
        <v>1213</v>
      </c>
      <c r="G92" s="34" t="s">
        <v>1187</v>
      </c>
      <c r="H92" s="34" t="s">
        <v>1188</v>
      </c>
      <c r="I92" s="34" t="s">
        <v>1214</v>
      </c>
      <c r="J92" s="34" t="s">
        <v>1215</v>
      </c>
      <c r="K92" s="34" t="s">
        <v>1191</v>
      </c>
      <c r="L92" s="34" t="s">
        <v>1228</v>
      </c>
      <c r="M92" s="34" t="s">
        <v>1217</v>
      </c>
      <c r="N92" s="34" t="s">
        <v>1194</v>
      </c>
      <c r="O92" s="34" t="s">
        <v>1229</v>
      </c>
      <c r="P92" s="34" t="s">
        <v>31</v>
      </c>
      <c r="Q92" s="34" t="s">
        <v>1196</v>
      </c>
      <c r="R92" s="34" t="s">
        <v>1226</v>
      </c>
      <c r="S92" s="34" t="s">
        <v>479</v>
      </c>
      <c r="T92" s="34" t="s">
        <v>1536</v>
      </c>
      <c r="U92" s="34" t="s">
        <v>1227</v>
      </c>
      <c r="V92" s="34" t="s">
        <v>1219</v>
      </c>
      <c r="W92" s="32" t="s">
        <v>1537</v>
      </c>
      <c r="X92" s="29" t="s">
        <v>1538</v>
      </c>
      <c r="Y92" s="29" t="s">
        <v>1539</v>
      </c>
      <c r="Z92" s="29" t="s">
        <v>1540</v>
      </c>
      <c r="AA92" s="29" t="s">
        <v>1220</v>
      </c>
      <c r="AB92" s="29" t="s">
        <v>1363</v>
      </c>
      <c r="AC92" s="29" t="s">
        <v>1364</v>
      </c>
      <c r="AD92" s="29" t="s">
        <v>1365</v>
      </c>
      <c r="AE92" s="29" t="s">
        <v>1230</v>
      </c>
      <c r="AF92" s="29" t="s">
        <v>1222</v>
      </c>
      <c r="AG92" s="29" t="s">
        <v>1201</v>
      </c>
      <c r="AH92" s="29" t="s">
        <v>1223</v>
      </c>
      <c r="AI92" s="32" t="s">
        <v>1230</v>
      </c>
      <c r="AJ92" s="29" t="s">
        <v>1604</v>
      </c>
      <c r="AK92" s="29" t="s">
        <v>1231</v>
      </c>
      <c r="AL92" s="29" t="s">
        <v>1232</v>
      </c>
      <c r="AM92" s="29" t="s">
        <v>1228</v>
      </c>
    </row>
    <row r="93" spans="1:39" ht="230" customHeight="1">
      <c r="A93" s="34" t="s">
        <v>484</v>
      </c>
      <c r="B93" s="34" t="s">
        <v>967</v>
      </c>
      <c r="C93" s="34" t="s">
        <v>1233</v>
      </c>
      <c r="D93" s="34" t="s">
        <v>1184</v>
      </c>
      <c r="E93" s="34" t="s">
        <v>1234</v>
      </c>
      <c r="F93" s="34" t="s">
        <v>1186</v>
      </c>
      <c r="G93" s="34" t="s">
        <v>1187</v>
      </c>
      <c r="H93" s="34" t="s">
        <v>1188</v>
      </c>
      <c r="I93" s="34" t="s">
        <v>1235</v>
      </c>
      <c r="J93" s="34" t="s">
        <v>1236</v>
      </c>
      <c r="K93" s="34" t="s">
        <v>1191</v>
      </c>
      <c r="L93" s="34" t="s">
        <v>1237</v>
      </c>
      <c r="M93" s="34" t="s">
        <v>1217</v>
      </c>
      <c r="N93" s="34" t="s">
        <v>1194</v>
      </c>
      <c r="O93" s="34" t="s">
        <v>1238</v>
      </c>
      <c r="P93" s="34" t="s">
        <v>31</v>
      </c>
      <c r="Q93" s="34" t="s">
        <v>1196</v>
      </c>
      <c r="R93" s="34" t="s">
        <v>1233</v>
      </c>
      <c r="S93" s="34" t="s">
        <v>473</v>
      </c>
      <c r="T93" s="34" t="s">
        <v>1536</v>
      </c>
      <c r="U93" s="34" t="s">
        <v>1234</v>
      </c>
      <c r="V93" s="34" t="s">
        <v>1239</v>
      </c>
      <c r="W93" s="32" t="s">
        <v>1537</v>
      </c>
      <c r="X93" s="29" t="s">
        <v>1538</v>
      </c>
      <c r="Y93" s="29" t="s">
        <v>1539</v>
      </c>
      <c r="Z93" s="29" t="s">
        <v>1540</v>
      </c>
      <c r="AA93" s="29" t="s">
        <v>1240</v>
      </c>
      <c r="AB93" s="29" t="s">
        <v>1366</v>
      </c>
      <c r="AC93" s="29" t="s">
        <v>1367</v>
      </c>
      <c r="AD93" s="29" t="s">
        <v>1368</v>
      </c>
      <c r="AE93" s="29" t="s">
        <v>1209</v>
      </c>
      <c r="AF93" s="29" t="s">
        <v>1222</v>
      </c>
      <c r="AG93" s="29" t="s">
        <v>1201</v>
      </c>
      <c r="AH93" s="29" t="s">
        <v>1241</v>
      </c>
      <c r="AI93" s="32" t="s">
        <v>1209</v>
      </c>
      <c r="AJ93" s="29" t="s">
        <v>1605</v>
      </c>
      <c r="AK93" s="29" t="s">
        <v>1242</v>
      </c>
      <c r="AL93" s="29" t="s">
        <v>1121</v>
      </c>
      <c r="AM93" s="29" t="s">
        <v>1237</v>
      </c>
    </row>
    <row r="94" spans="1:39" ht="230" customHeight="1">
      <c r="A94" s="34" t="s">
        <v>484</v>
      </c>
      <c r="B94" s="34" t="s">
        <v>471</v>
      </c>
      <c r="C94" s="34" t="s">
        <v>1243</v>
      </c>
      <c r="D94" s="34" t="s">
        <v>1184</v>
      </c>
      <c r="E94" s="34" t="s">
        <v>1234</v>
      </c>
      <c r="F94" s="34" t="s">
        <v>1186</v>
      </c>
      <c r="G94" s="34" t="s">
        <v>1187</v>
      </c>
      <c r="H94" s="34" t="s">
        <v>1188</v>
      </c>
      <c r="I94" s="34" t="s">
        <v>1235</v>
      </c>
      <c r="J94" s="34" t="s">
        <v>1236</v>
      </c>
      <c r="K94" s="34" t="s">
        <v>1191</v>
      </c>
      <c r="L94" s="34" t="s">
        <v>1244</v>
      </c>
      <c r="M94" s="34" t="s">
        <v>1217</v>
      </c>
      <c r="N94" s="34" t="s">
        <v>1194</v>
      </c>
      <c r="O94" s="34" t="s">
        <v>1245</v>
      </c>
      <c r="P94" s="34" t="s">
        <v>31</v>
      </c>
      <c r="Q94" s="34" t="s">
        <v>1196</v>
      </c>
      <c r="R94" s="34" t="s">
        <v>1243</v>
      </c>
      <c r="S94" s="34" t="s">
        <v>471</v>
      </c>
      <c r="T94" s="34" t="s">
        <v>1536</v>
      </c>
      <c r="U94" s="34" t="s">
        <v>1234</v>
      </c>
      <c r="V94" s="34" t="s">
        <v>1239</v>
      </c>
      <c r="W94" s="32" t="s">
        <v>1537</v>
      </c>
      <c r="X94" s="29" t="s">
        <v>1538</v>
      </c>
      <c r="Y94" s="29" t="s">
        <v>1539</v>
      </c>
      <c r="Z94" s="29" t="s">
        <v>1540</v>
      </c>
      <c r="AA94" s="29" t="s">
        <v>1240</v>
      </c>
      <c r="AB94" s="29" t="s">
        <v>1366</v>
      </c>
      <c r="AC94" s="29" t="s">
        <v>1367</v>
      </c>
      <c r="AD94" s="29" t="s">
        <v>1368</v>
      </c>
      <c r="AE94" s="29" t="s">
        <v>1209</v>
      </c>
      <c r="AF94" s="29" t="s">
        <v>1222</v>
      </c>
      <c r="AG94" s="29" t="s">
        <v>1201</v>
      </c>
      <c r="AH94" s="29" t="s">
        <v>1241</v>
      </c>
      <c r="AI94" s="32" t="s">
        <v>1209</v>
      </c>
      <c r="AJ94" s="29" t="s">
        <v>1243</v>
      </c>
      <c r="AK94" s="29" t="s">
        <v>1246</v>
      </c>
      <c r="AL94" s="29" t="s">
        <v>1128</v>
      </c>
      <c r="AM94" s="29" t="s">
        <v>1244</v>
      </c>
    </row>
    <row r="95" spans="1:39" ht="230" customHeight="1">
      <c r="A95" s="34" t="s">
        <v>484</v>
      </c>
      <c r="B95" s="34" t="s">
        <v>476</v>
      </c>
      <c r="C95" s="34" t="s">
        <v>1247</v>
      </c>
      <c r="D95" s="34" t="s">
        <v>1184</v>
      </c>
      <c r="E95" s="34" t="s">
        <v>1234</v>
      </c>
      <c r="F95" s="34" t="s">
        <v>1186</v>
      </c>
      <c r="G95" s="34" t="s">
        <v>1187</v>
      </c>
      <c r="H95" s="34" t="s">
        <v>1188</v>
      </c>
      <c r="I95" s="34" t="s">
        <v>1235</v>
      </c>
      <c r="J95" s="34" t="s">
        <v>1236</v>
      </c>
      <c r="K95" s="34" t="s">
        <v>1191</v>
      </c>
      <c r="L95" s="34" t="s">
        <v>1248</v>
      </c>
      <c r="M95" s="34" t="s">
        <v>1217</v>
      </c>
      <c r="N95" s="34" t="s">
        <v>1194</v>
      </c>
      <c r="O95" s="34" t="s">
        <v>1249</v>
      </c>
      <c r="P95" s="34" t="s">
        <v>31</v>
      </c>
      <c r="Q95" s="34" t="s">
        <v>1196</v>
      </c>
      <c r="R95" s="34" t="s">
        <v>1247</v>
      </c>
      <c r="S95" s="34" t="s">
        <v>476</v>
      </c>
      <c r="T95" s="34" t="s">
        <v>1536</v>
      </c>
      <c r="U95" s="34" t="s">
        <v>1234</v>
      </c>
      <c r="V95" s="34" t="s">
        <v>1239</v>
      </c>
      <c r="W95" s="32" t="s">
        <v>1537</v>
      </c>
      <c r="X95" s="29" t="s">
        <v>1538</v>
      </c>
      <c r="Y95" s="29" t="s">
        <v>1539</v>
      </c>
      <c r="Z95" s="29" t="s">
        <v>1540</v>
      </c>
      <c r="AA95" s="29" t="s">
        <v>1240</v>
      </c>
      <c r="AB95" s="29" t="s">
        <v>1366</v>
      </c>
      <c r="AC95" s="29" t="s">
        <v>1367</v>
      </c>
      <c r="AD95" s="29" t="s">
        <v>1368</v>
      </c>
      <c r="AE95" s="29" t="s">
        <v>1209</v>
      </c>
      <c r="AF95" s="29" t="s">
        <v>1222</v>
      </c>
      <c r="AG95" s="29" t="s">
        <v>1201</v>
      </c>
      <c r="AH95" s="29" t="s">
        <v>1241</v>
      </c>
      <c r="AI95" s="32" t="s">
        <v>1209</v>
      </c>
      <c r="AJ95" s="29" t="s">
        <v>1247</v>
      </c>
      <c r="AK95" s="29" t="s">
        <v>1250</v>
      </c>
      <c r="AL95" s="29" t="s">
        <v>1130</v>
      </c>
      <c r="AM95" s="29" t="s">
        <v>1248</v>
      </c>
    </row>
    <row r="96" spans="1:39" ht="125" hidden="1" customHeight="1">
      <c r="A96" s="34" t="s">
        <v>486</v>
      </c>
      <c r="B96" s="34" t="s">
        <v>468</v>
      </c>
      <c r="C96" s="34" t="s">
        <v>1251</v>
      </c>
      <c r="D96" s="34" t="s">
        <v>1252</v>
      </c>
      <c r="E96" s="34" t="s">
        <v>1253</v>
      </c>
      <c r="F96" s="34" t="s">
        <v>1254</v>
      </c>
      <c r="G96" s="34" t="s">
        <v>1255</v>
      </c>
      <c r="H96" s="34" t="s">
        <v>1188</v>
      </c>
      <c r="I96" s="34" t="s">
        <v>1256</v>
      </c>
      <c r="J96" s="34" t="s">
        <v>1257</v>
      </c>
      <c r="K96" s="34" t="s">
        <v>1191</v>
      </c>
      <c r="L96" s="34" t="s">
        <v>1258</v>
      </c>
      <c r="M96" s="34" t="s">
        <v>1217</v>
      </c>
      <c r="N96" s="34" t="s">
        <v>1194</v>
      </c>
      <c r="O96" s="34" t="s">
        <v>1259</v>
      </c>
      <c r="P96" s="34" t="s">
        <v>31</v>
      </c>
      <c r="Q96" s="34" t="s">
        <v>1196</v>
      </c>
      <c r="R96" s="34" t="s">
        <v>1251</v>
      </c>
      <c r="S96" s="42" t="s">
        <v>468</v>
      </c>
      <c r="T96" s="34" t="s">
        <v>1606</v>
      </c>
      <c r="U96" s="34" t="s">
        <v>1253</v>
      </c>
      <c r="V96" s="34" t="s">
        <v>1260</v>
      </c>
      <c r="W96" s="32" t="s">
        <v>1607</v>
      </c>
      <c r="X96" s="29" t="s">
        <v>1512</v>
      </c>
      <c r="Y96" s="29" t="s">
        <v>1608</v>
      </c>
      <c r="Z96" s="29" t="s">
        <v>1609</v>
      </c>
      <c r="AA96" s="29" t="s">
        <v>1261</v>
      </c>
      <c r="AB96" s="29" t="s">
        <v>1369</v>
      </c>
      <c r="AC96" s="29" t="s">
        <v>1370</v>
      </c>
      <c r="AD96" s="29" t="s">
        <v>1371</v>
      </c>
      <c r="AE96" s="29" t="s">
        <v>1262</v>
      </c>
      <c r="AF96" s="29" t="s">
        <v>1222</v>
      </c>
      <c r="AG96" s="29" t="s">
        <v>1201</v>
      </c>
      <c r="AH96" s="29" t="s">
        <v>1263</v>
      </c>
      <c r="AI96" s="32" t="s">
        <v>1262</v>
      </c>
      <c r="AJ96" s="29" t="s">
        <v>1251</v>
      </c>
      <c r="AK96" s="29" t="s">
        <v>1264</v>
      </c>
      <c r="AL96" s="29" t="s">
        <v>1154</v>
      </c>
      <c r="AM96" s="29" t="s">
        <v>1258</v>
      </c>
    </row>
    <row r="97" spans="1:39" ht="125" hidden="1" customHeight="1">
      <c r="A97" s="34" t="s">
        <v>486</v>
      </c>
      <c r="B97" s="34" t="s">
        <v>468</v>
      </c>
      <c r="C97" s="34" t="s">
        <v>1265</v>
      </c>
      <c r="D97" s="34" t="s">
        <v>1252</v>
      </c>
      <c r="E97" s="34" t="s">
        <v>1266</v>
      </c>
      <c r="F97" s="34" t="s">
        <v>1254</v>
      </c>
      <c r="G97" s="34" t="s">
        <v>1255</v>
      </c>
      <c r="H97" s="34" t="s">
        <v>1188</v>
      </c>
      <c r="I97" s="34" t="s">
        <v>1256</v>
      </c>
      <c r="J97" s="34" t="s">
        <v>1257</v>
      </c>
      <c r="K97" s="34" t="s">
        <v>1191</v>
      </c>
      <c r="L97" s="34" t="s">
        <v>1258</v>
      </c>
      <c r="M97" s="34" t="s">
        <v>1217</v>
      </c>
      <c r="N97" s="34" t="s">
        <v>1194</v>
      </c>
      <c r="O97" s="34" t="s">
        <v>1267</v>
      </c>
      <c r="P97" s="34" t="s">
        <v>31</v>
      </c>
      <c r="Q97" s="34" t="s">
        <v>1196</v>
      </c>
      <c r="R97" s="34" t="s">
        <v>1265</v>
      </c>
      <c r="S97" s="42" t="s">
        <v>468</v>
      </c>
      <c r="T97" s="34" t="s">
        <v>1606</v>
      </c>
      <c r="U97" s="34" t="s">
        <v>1266</v>
      </c>
      <c r="V97" s="34" t="s">
        <v>1260</v>
      </c>
      <c r="W97" s="32" t="s">
        <v>1607</v>
      </c>
      <c r="X97" s="29" t="s">
        <v>1512</v>
      </c>
      <c r="Y97" s="29" t="s">
        <v>1608</v>
      </c>
      <c r="Z97" s="29" t="s">
        <v>1609</v>
      </c>
      <c r="AA97" s="29" t="s">
        <v>1261</v>
      </c>
      <c r="AB97" s="29" t="s">
        <v>1372</v>
      </c>
      <c r="AC97" s="29" t="s">
        <v>1373</v>
      </c>
      <c r="AD97" s="29" t="s">
        <v>1371</v>
      </c>
      <c r="AE97" s="29" t="s">
        <v>1262</v>
      </c>
      <c r="AF97" s="29" t="s">
        <v>1222</v>
      </c>
      <c r="AG97" s="29" t="s">
        <v>1201</v>
      </c>
      <c r="AH97" s="29" t="s">
        <v>1263</v>
      </c>
      <c r="AI97" s="32" t="s">
        <v>1262</v>
      </c>
      <c r="AJ97" s="29" t="s">
        <v>1265</v>
      </c>
      <c r="AK97" s="29" t="s">
        <v>1268</v>
      </c>
      <c r="AL97" s="29" t="s">
        <v>1154</v>
      </c>
      <c r="AM97" s="29" t="s">
        <v>1258</v>
      </c>
    </row>
    <row r="98" spans="1:39" ht="125" hidden="1" customHeight="1">
      <c r="A98" s="34" t="s">
        <v>486</v>
      </c>
      <c r="B98" s="34" t="s">
        <v>473</v>
      </c>
      <c r="C98" s="34" t="s">
        <v>1269</v>
      </c>
      <c r="D98" s="34" t="s">
        <v>1252</v>
      </c>
      <c r="E98" s="34" t="s">
        <v>1270</v>
      </c>
      <c r="F98" s="34" t="s">
        <v>1254</v>
      </c>
      <c r="G98" s="34" t="s">
        <v>1255</v>
      </c>
      <c r="H98" s="34" t="s">
        <v>1188</v>
      </c>
      <c r="I98" s="34" t="s">
        <v>1256</v>
      </c>
      <c r="J98" s="34" t="s">
        <v>1257</v>
      </c>
      <c r="K98" s="34" t="s">
        <v>1191</v>
      </c>
      <c r="L98" s="34" t="s">
        <v>1258</v>
      </c>
      <c r="M98" s="34" t="s">
        <v>1217</v>
      </c>
      <c r="N98" s="34" t="s">
        <v>1194</v>
      </c>
      <c r="O98" s="34" t="s">
        <v>1271</v>
      </c>
      <c r="P98" s="34" t="s">
        <v>31</v>
      </c>
      <c r="Q98" s="34" t="s">
        <v>1196</v>
      </c>
      <c r="R98" s="34" t="s">
        <v>1269</v>
      </c>
      <c r="S98" s="42" t="s">
        <v>473</v>
      </c>
      <c r="T98" s="34" t="s">
        <v>1606</v>
      </c>
      <c r="U98" s="34" t="s">
        <v>1270</v>
      </c>
      <c r="V98" s="34" t="s">
        <v>1260</v>
      </c>
      <c r="W98" s="32" t="s">
        <v>1607</v>
      </c>
      <c r="X98" s="29" t="s">
        <v>1512</v>
      </c>
      <c r="Y98" s="29" t="s">
        <v>1608</v>
      </c>
      <c r="Z98" s="29" t="s">
        <v>1609</v>
      </c>
      <c r="AA98" s="29" t="s">
        <v>1261</v>
      </c>
      <c r="AB98" s="29" t="s">
        <v>1374</v>
      </c>
      <c r="AC98" s="29" t="s">
        <v>1375</v>
      </c>
      <c r="AD98" s="29" t="s">
        <v>1371</v>
      </c>
      <c r="AE98" s="29" t="s">
        <v>1262</v>
      </c>
      <c r="AF98" s="29" t="s">
        <v>1222</v>
      </c>
      <c r="AG98" s="29" t="s">
        <v>1201</v>
      </c>
      <c r="AH98" s="29" t="s">
        <v>1263</v>
      </c>
      <c r="AI98" s="32" t="s">
        <v>1262</v>
      </c>
      <c r="AJ98" s="29" t="s">
        <v>1269</v>
      </c>
      <c r="AK98" s="29" t="s">
        <v>1272</v>
      </c>
      <c r="AL98" s="29" t="s">
        <v>1155</v>
      </c>
      <c r="AM98" s="29" t="s">
        <v>1258</v>
      </c>
    </row>
    <row r="99" spans="1:39" ht="125" hidden="1" customHeight="1">
      <c r="A99" s="34" t="s">
        <v>486</v>
      </c>
      <c r="B99" s="34" t="s">
        <v>473</v>
      </c>
      <c r="C99" s="34" t="s">
        <v>1273</v>
      </c>
      <c r="D99" s="34" t="s">
        <v>1252</v>
      </c>
      <c r="E99" s="34" t="s">
        <v>1274</v>
      </c>
      <c r="F99" s="34" t="s">
        <v>1254</v>
      </c>
      <c r="G99" s="34" t="s">
        <v>1255</v>
      </c>
      <c r="H99" s="34" t="s">
        <v>1188</v>
      </c>
      <c r="I99" s="34" t="s">
        <v>1256</v>
      </c>
      <c r="J99" s="34" t="s">
        <v>1257</v>
      </c>
      <c r="K99" s="34" t="s">
        <v>1191</v>
      </c>
      <c r="L99" s="34" t="s">
        <v>1258</v>
      </c>
      <c r="M99" s="34" t="s">
        <v>1217</v>
      </c>
      <c r="N99" s="34" t="s">
        <v>1194</v>
      </c>
      <c r="O99" s="34" t="s">
        <v>1275</v>
      </c>
      <c r="P99" s="34" t="s">
        <v>31</v>
      </c>
      <c r="Q99" s="34" t="s">
        <v>1196</v>
      </c>
      <c r="R99" s="34" t="s">
        <v>1273</v>
      </c>
      <c r="S99" s="42" t="s">
        <v>473</v>
      </c>
      <c r="T99" s="34" t="s">
        <v>1606</v>
      </c>
      <c r="U99" s="34" t="s">
        <v>1274</v>
      </c>
      <c r="V99" s="34" t="s">
        <v>1260</v>
      </c>
      <c r="W99" s="32" t="s">
        <v>1607</v>
      </c>
      <c r="X99" s="29" t="s">
        <v>1512</v>
      </c>
      <c r="Y99" s="29" t="s">
        <v>1608</v>
      </c>
      <c r="Z99" s="29" t="s">
        <v>1609</v>
      </c>
      <c r="AA99" s="29" t="s">
        <v>1261</v>
      </c>
      <c r="AB99" s="29" t="s">
        <v>1376</v>
      </c>
      <c r="AC99" s="29" t="s">
        <v>1377</v>
      </c>
      <c r="AD99" s="29" t="s">
        <v>1371</v>
      </c>
      <c r="AE99" s="29" t="s">
        <v>1262</v>
      </c>
      <c r="AF99" s="29" t="s">
        <v>1222</v>
      </c>
      <c r="AG99" s="29" t="s">
        <v>1201</v>
      </c>
      <c r="AH99" s="29" t="s">
        <v>1263</v>
      </c>
      <c r="AI99" s="32" t="s">
        <v>1262</v>
      </c>
      <c r="AJ99" s="29" t="s">
        <v>1273</v>
      </c>
      <c r="AK99" s="29" t="s">
        <v>1276</v>
      </c>
      <c r="AL99" s="29" t="s">
        <v>1155</v>
      </c>
      <c r="AM99" s="29" t="s">
        <v>1258</v>
      </c>
    </row>
    <row r="100" spans="1:39" ht="125" hidden="1" customHeight="1">
      <c r="A100" s="34" t="s">
        <v>486</v>
      </c>
      <c r="B100" s="34" t="s">
        <v>471</v>
      </c>
      <c r="C100" s="34" t="s">
        <v>1277</v>
      </c>
      <c r="D100" s="34" t="s">
        <v>1252</v>
      </c>
      <c r="E100" s="34" t="s">
        <v>1274</v>
      </c>
      <c r="F100" s="34" t="s">
        <v>1254</v>
      </c>
      <c r="G100" s="34" t="s">
        <v>1255</v>
      </c>
      <c r="H100" s="34" t="s">
        <v>1188</v>
      </c>
      <c r="I100" s="34" t="s">
        <v>1256</v>
      </c>
      <c r="J100" s="34" t="s">
        <v>1257</v>
      </c>
      <c r="K100" s="34" t="s">
        <v>1191</v>
      </c>
      <c r="L100" s="34" t="s">
        <v>1258</v>
      </c>
      <c r="M100" s="34" t="s">
        <v>1217</v>
      </c>
      <c r="N100" s="34" t="s">
        <v>1194</v>
      </c>
      <c r="O100" s="34" t="s">
        <v>1278</v>
      </c>
      <c r="P100" s="34" t="s">
        <v>31</v>
      </c>
      <c r="Q100" s="34" t="s">
        <v>1196</v>
      </c>
      <c r="R100" s="34" t="s">
        <v>1277</v>
      </c>
      <c r="S100" s="42" t="s">
        <v>471</v>
      </c>
      <c r="T100" s="34" t="s">
        <v>1606</v>
      </c>
      <c r="U100" s="34" t="s">
        <v>1274</v>
      </c>
      <c r="V100" s="34" t="s">
        <v>1260</v>
      </c>
      <c r="W100" s="32" t="s">
        <v>1607</v>
      </c>
      <c r="X100" s="29" t="s">
        <v>1512</v>
      </c>
      <c r="Y100" s="29" t="s">
        <v>1608</v>
      </c>
      <c r="Z100" s="29" t="s">
        <v>1609</v>
      </c>
      <c r="AA100" s="29" t="s">
        <v>1261</v>
      </c>
      <c r="AB100" s="29" t="s">
        <v>1378</v>
      </c>
      <c r="AC100" s="29" t="s">
        <v>1379</v>
      </c>
      <c r="AD100" s="29" t="s">
        <v>1371</v>
      </c>
      <c r="AE100" s="29" t="s">
        <v>1262</v>
      </c>
      <c r="AF100" s="29" t="s">
        <v>1222</v>
      </c>
      <c r="AG100" s="29" t="s">
        <v>1201</v>
      </c>
      <c r="AH100" s="29" t="s">
        <v>1263</v>
      </c>
      <c r="AI100" s="32" t="s">
        <v>1262</v>
      </c>
      <c r="AJ100" s="29" t="s">
        <v>1277</v>
      </c>
      <c r="AK100" s="29" t="s">
        <v>1276</v>
      </c>
      <c r="AL100" s="29" t="s">
        <v>1156</v>
      </c>
      <c r="AM100" s="29" t="s">
        <v>1258</v>
      </c>
    </row>
    <row r="101" spans="1:39" ht="125" hidden="1" customHeight="1">
      <c r="A101" s="34" t="s">
        <v>486</v>
      </c>
      <c r="B101" s="34" t="s">
        <v>476</v>
      </c>
      <c r="C101" s="34" t="s">
        <v>1279</v>
      </c>
      <c r="D101" s="34" t="s">
        <v>1252</v>
      </c>
      <c r="E101" s="34" t="s">
        <v>1270</v>
      </c>
      <c r="F101" s="34" t="s">
        <v>1254</v>
      </c>
      <c r="G101" s="34" t="s">
        <v>1255</v>
      </c>
      <c r="H101" s="34" t="s">
        <v>1188</v>
      </c>
      <c r="I101" s="34" t="s">
        <v>1256</v>
      </c>
      <c r="J101" s="34" t="s">
        <v>1257</v>
      </c>
      <c r="K101" s="34" t="s">
        <v>1191</v>
      </c>
      <c r="L101" s="34" t="s">
        <v>1258</v>
      </c>
      <c r="M101" s="34" t="s">
        <v>1217</v>
      </c>
      <c r="N101" s="34" t="s">
        <v>1194</v>
      </c>
      <c r="O101" s="34" t="s">
        <v>1280</v>
      </c>
      <c r="P101" s="34" t="s">
        <v>31</v>
      </c>
      <c r="Q101" s="34" t="s">
        <v>1196</v>
      </c>
      <c r="R101" s="34" t="s">
        <v>1279</v>
      </c>
      <c r="S101" s="42" t="s">
        <v>476</v>
      </c>
      <c r="T101" s="34" t="s">
        <v>1606</v>
      </c>
      <c r="U101" s="34" t="s">
        <v>1270</v>
      </c>
      <c r="V101" s="34" t="s">
        <v>1260</v>
      </c>
      <c r="W101" s="32" t="s">
        <v>1607</v>
      </c>
      <c r="X101" s="29" t="s">
        <v>1512</v>
      </c>
      <c r="Y101" s="29" t="s">
        <v>1608</v>
      </c>
      <c r="Z101" s="29" t="s">
        <v>1609</v>
      </c>
      <c r="AA101" s="29" t="s">
        <v>1261</v>
      </c>
      <c r="AB101" s="29" t="s">
        <v>1380</v>
      </c>
      <c r="AC101" s="29" t="s">
        <v>1381</v>
      </c>
      <c r="AD101" s="29" t="s">
        <v>1371</v>
      </c>
      <c r="AE101" s="29" t="s">
        <v>1262</v>
      </c>
      <c r="AF101" s="29" t="s">
        <v>1222</v>
      </c>
      <c r="AG101" s="29" t="s">
        <v>1201</v>
      </c>
      <c r="AH101" s="29" t="s">
        <v>1263</v>
      </c>
      <c r="AI101" s="32" t="s">
        <v>1262</v>
      </c>
      <c r="AJ101" s="29" t="s">
        <v>1279</v>
      </c>
      <c r="AK101" s="29" t="s">
        <v>1272</v>
      </c>
      <c r="AL101" s="29" t="s">
        <v>1157</v>
      </c>
      <c r="AM101" s="29" t="s">
        <v>1258</v>
      </c>
    </row>
    <row r="102" spans="1:39" ht="125" hidden="1" customHeight="1">
      <c r="A102" s="34" t="s">
        <v>486</v>
      </c>
      <c r="B102" s="34" t="s">
        <v>476</v>
      </c>
      <c r="C102" s="34" t="s">
        <v>1281</v>
      </c>
      <c r="D102" s="34" t="s">
        <v>1252</v>
      </c>
      <c r="E102" s="34" t="s">
        <v>1270</v>
      </c>
      <c r="F102" s="34" t="s">
        <v>1254</v>
      </c>
      <c r="G102" s="34" t="s">
        <v>1255</v>
      </c>
      <c r="H102" s="34" t="s">
        <v>1188</v>
      </c>
      <c r="I102" s="34" t="s">
        <v>1256</v>
      </c>
      <c r="J102" s="34" t="s">
        <v>1257</v>
      </c>
      <c r="K102" s="34" t="s">
        <v>1191</v>
      </c>
      <c r="L102" s="34" t="s">
        <v>1258</v>
      </c>
      <c r="M102" s="34" t="s">
        <v>1217</v>
      </c>
      <c r="N102" s="34" t="s">
        <v>1194</v>
      </c>
      <c r="O102" s="34" t="s">
        <v>1282</v>
      </c>
      <c r="P102" s="34" t="s">
        <v>31</v>
      </c>
      <c r="Q102" s="34" t="s">
        <v>1196</v>
      </c>
      <c r="R102" s="34" t="s">
        <v>1281</v>
      </c>
      <c r="S102" s="42" t="s">
        <v>476</v>
      </c>
      <c r="T102" s="34" t="s">
        <v>1606</v>
      </c>
      <c r="U102" s="34" t="s">
        <v>1270</v>
      </c>
      <c r="V102" s="34" t="s">
        <v>1260</v>
      </c>
      <c r="W102" s="32" t="s">
        <v>1607</v>
      </c>
      <c r="X102" s="29" t="s">
        <v>1512</v>
      </c>
      <c r="Y102" s="29" t="s">
        <v>1608</v>
      </c>
      <c r="Z102" s="29" t="s">
        <v>1609</v>
      </c>
      <c r="AA102" s="29" t="s">
        <v>1261</v>
      </c>
      <c r="AB102" s="29" t="s">
        <v>1382</v>
      </c>
      <c r="AC102" s="29" t="s">
        <v>1383</v>
      </c>
      <c r="AD102" s="29" t="s">
        <v>1371</v>
      </c>
      <c r="AE102" s="29" t="s">
        <v>1262</v>
      </c>
      <c r="AF102" s="29" t="s">
        <v>1222</v>
      </c>
      <c r="AG102" s="29" t="s">
        <v>1201</v>
      </c>
      <c r="AH102" s="29" t="s">
        <v>1263</v>
      </c>
      <c r="AI102" s="32" t="s">
        <v>1262</v>
      </c>
      <c r="AJ102" s="29" t="s">
        <v>1281</v>
      </c>
      <c r="AK102" s="29" t="s">
        <v>1272</v>
      </c>
      <c r="AL102" s="29" t="s">
        <v>1157</v>
      </c>
      <c r="AM102" s="29" t="s">
        <v>1258</v>
      </c>
    </row>
    <row r="103" spans="1:39" ht="100" hidden="1" customHeight="1">
      <c r="A103" s="34" t="s">
        <v>485</v>
      </c>
      <c r="B103" s="34" t="s">
        <v>468</v>
      </c>
      <c r="C103" s="34" t="s">
        <v>1283</v>
      </c>
      <c r="D103" s="34" t="s">
        <v>1184</v>
      </c>
      <c r="E103" s="34" t="s">
        <v>1284</v>
      </c>
      <c r="F103" s="34" t="s">
        <v>1285</v>
      </c>
      <c r="G103" s="34" t="s">
        <v>1187</v>
      </c>
      <c r="H103" s="34" t="s">
        <v>1188</v>
      </c>
      <c r="I103" s="34" t="s">
        <v>1286</v>
      </c>
      <c r="J103" s="34" t="s">
        <v>1287</v>
      </c>
      <c r="K103" s="34" t="s">
        <v>1191</v>
      </c>
      <c r="L103" s="34" t="s">
        <v>1288</v>
      </c>
      <c r="M103" s="34" t="s">
        <v>1193</v>
      </c>
      <c r="N103" s="34" t="s">
        <v>1194</v>
      </c>
      <c r="O103" s="34" t="s">
        <v>1289</v>
      </c>
      <c r="P103" s="34" t="s">
        <v>31</v>
      </c>
      <c r="Q103" s="34" t="s">
        <v>1196</v>
      </c>
      <c r="R103" s="34" t="s">
        <v>1283</v>
      </c>
      <c r="S103" s="42" t="s">
        <v>468</v>
      </c>
      <c r="T103" s="34" t="s">
        <v>1510</v>
      </c>
      <c r="U103" s="34" t="s">
        <v>1284</v>
      </c>
      <c r="V103" s="34" t="s">
        <v>1290</v>
      </c>
      <c r="W103" s="32" t="s">
        <v>1511</v>
      </c>
      <c r="X103" s="29" t="s">
        <v>1512</v>
      </c>
      <c r="Y103" s="29" t="s">
        <v>1513</v>
      </c>
      <c r="Z103" s="29" t="s">
        <v>1514</v>
      </c>
      <c r="AA103" s="29" t="s">
        <v>1291</v>
      </c>
      <c r="AB103" s="29" t="s">
        <v>1384</v>
      </c>
      <c r="AC103" s="29" t="s">
        <v>1385</v>
      </c>
      <c r="AD103" s="29" t="s">
        <v>1386</v>
      </c>
      <c r="AE103" s="29" t="s">
        <v>1292</v>
      </c>
      <c r="AF103" s="29" t="s">
        <v>1200</v>
      </c>
      <c r="AG103" s="29" t="s">
        <v>1201</v>
      </c>
      <c r="AH103" s="29" t="s">
        <v>1293</v>
      </c>
      <c r="AI103" s="31" t="s">
        <v>1292</v>
      </c>
      <c r="AJ103" s="29" t="s">
        <v>1283</v>
      </c>
      <c r="AK103" s="29" t="s">
        <v>1294</v>
      </c>
      <c r="AL103" s="29" t="s">
        <v>1140</v>
      </c>
      <c r="AM103" s="29" t="s">
        <v>1288</v>
      </c>
    </row>
    <row r="104" spans="1:39" ht="100" hidden="1" customHeight="1">
      <c r="A104" s="34" t="s">
        <v>485</v>
      </c>
      <c r="B104" s="34" t="s">
        <v>471</v>
      </c>
      <c r="C104" s="34" t="s">
        <v>1295</v>
      </c>
      <c r="D104" s="34" t="s">
        <v>1184</v>
      </c>
      <c r="E104" s="34" t="s">
        <v>1296</v>
      </c>
      <c r="F104" s="34" t="s">
        <v>1285</v>
      </c>
      <c r="G104" s="34" t="s">
        <v>1187</v>
      </c>
      <c r="H104" s="34" t="s">
        <v>1188</v>
      </c>
      <c r="I104" s="34" t="s">
        <v>1286</v>
      </c>
      <c r="J104" s="34" t="s">
        <v>1287</v>
      </c>
      <c r="K104" s="34" t="s">
        <v>1191</v>
      </c>
      <c r="L104" s="34" t="s">
        <v>1288</v>
      </c>
      <c r="M104" s="34" t="s">
        <v>1193</v>
      </c>
      <c r="N104" s="34" t="s">
        <v>1194</v>
      </c>
      <c r="O104" s="34" t="s">
        <v>1297</v>
      </c>
      <c r="P104" s="34" t="s">
        <v>31</v>
      </c>
      <c r="Q104" s="34" t="s">
        <v>1196</v>
      </c>
      <c r="R104" s="34" t="s">
        <v>1295</v>
      </c>
      <c r="S104" s="42" t="s">
        <v>471</v>
      </c>
      <c r="T104" s="34" t="s">
        <v>1510</v>
      </c>
      <c r="U104" s="34" t="s">
        <v>1296</v>
      </c>
      <c r="V104" s="34" t="s">
        <v>1290</v>
      </c>
      <c r="W104" s="32" t="s">
        <v>1511</v>
      </c>
      <c r="X104" s="29" t="s">
        <v>1512</v>
      </c>
      <c r="Y104" s="29" t="s">
        <v>1513</v>
      </c>
      <c r="Z104" s="29" t="s">
        <v>1514</v>
      </c>
      <c r="AA104" s="29" t="s">
        <v>1291</v>
      </c>
      <c r="AB104" s="29" t="s">
        <v>1387</v>
      </c>
      <c r="AC104" s="29" t="s">
        <v>1388</v>
      </c>
      <c r="AD104" s="29" t="s">
        <v>1386</v>
      </c>
      <c r="AE104" s="29" t="s">
        <v>1292</v>
      </c>
      <c r="AF104" s="29" t="s">
        <v>1200</v>
      </c>
      <c r="AG104" s="29" t="s">
        <v>1201</v>
      </c>
      <c r="AH104" s="29" t="s">
        <v>1293</v>
      </c>
      <c r="AI104" s="31" t="s">
        <v>1292</v>
      </c>
      <c r="AJ104" s="29" t="s">
        <v>1295</v>
      </c>
      <c r="AK104" s="29" t="s">
        <v>1298</v>
      </c>
      <c r="AL104" s="29" t="s">
        <v>1141</v>
      </c>
      <c r="AM104" s="29" t="s">
        <v>1288</v>
      </c>
    </row>
    <row r="105" spans="1:39" ht="100" hidden="1" customHeight="1">
      <c r="A105" s="34" t="s">
        <v>485</v>
      </c>
      <c r="B105" s="34" t="s">
        <v>473</v>
      </c>
      <c r="C105" s="34" t="s">
        <v>1299</v>
      </c>
      <c r="D105" s="34" t="s">
        <v>1184</v>
      </c>
      <c r="E105" s="34" t="s">
        <v>1300</v>
      </c>
      <c r="F105" s="34" t="s">
        <v>1285</v>
      </c>
      <c r="G105" s="34" t="s">
        <v>1187</v>
      </c>
      <c r="H105" s="34" t="s">
        <v>1188</v>
      </c>
      <c r="I105" s="34" t="s">
        <v>1286</v>
      </c>
      <c r="J105" s="34" t="s">
        <v>1287</v>
      </c>
      <c r="K105" s="34" t="s">
        <v>1191</v>
      </c>
      <c r="L105" s="34" t="s">
        <v>1288</v>
      </c>
      <c r="M105" s="34" t="s">
        <v>1193</v>
      </c>
      <c r="N105" s="34" t="s">
        <v>1194</v>
      </c>
      <c r="O105" s="34" t="s">
        <v>1301</v>
      </c>
      <c r="P105" s="34" t="s">
        <v>31</v>
      </c>
      <c r="Q105" s="34" t="s">
        <v>1196</v>
      </c>
      <c r="R105" s="34" t="s">
        <v>1299</v>
      </c>
      <c r="S105" s="42" t="s">
        <v>473</v>
      </c>
      <c r="T105" s="34" t="s">
        <v>1510</v>
      </c>
      <c r="U105" s="34" t="s">
        <v>1300</v>
      </c>
      <c r="V105" s="34" t="s">
        <v>1290</v>
      </c>
      <c r="W105" s="32" t="s">
        <v>1511</v>
      </c>
      <c r="X105" s="29" t="s">
        <v>1512</v>
      </c>
      <c r="Y105" s="29" t="s">
        <v>1513</v>
      </c>
      <c r="Z105" s="29" t="s">
        <v>1514</v>
      </c>
      <c r="AA105" s="29" t="s">
        <v>1291</v>
      </c>
      <c r="AB105" s="29" t="s">
        <v>1389</v>
      </c>
      <c r="AC105" s="29" t="s">
        <v>1390</v>
      </c>
      <c r="AD105" s="29" t="s">
        <v>1386</v>
      </c>
      <c r="AE105" s="29" t="s">
        <v>1292</v>
      </c>
      <c r="AF105" s="29" t="s">
        <v>1200</v>
      </c>
      <c r="AG105" s="29" t="s">
        <v>1201</v>
      </c>
      <c r="AH105" s="29" t="s">
        <v>1293</v>
      </c>
      <c r="AI105" s="31" t="s">
        <v>1292</v>
      </c>
      <c r="AJ105" s="29" t="s">
        <v>1299</v>
      </c>
      <c r="AK105" s="29" t="s">
        <v>1302</v>
      </c>
      <c r="AL105" s="29" t="s">
        <v>1143</v>
      </c>
      <c r="AM105" s="29" t="s">
        <v>1288</v>
      </c>
    </row>
    <row r="106" spans="1:39" ht="100" hidden="1" customHeight="1">
      <c r="A106" s="34" t="s">
        <v>485</v>
      </c>
      <c r="B106" s="34" t="s">
        <v>476</v>
      </c>
      <c r="C106" s="34" t="s">
        <v>1303</v>
      </c>
      <c r="D106" s="34" t="s">
        <v>1184</v>
      </c>
      <c r="E106" s="34" t="s">
        <v>1304</v>
      </c>
      <c r="F106" s="34" t="s">
        <v>1285</v>
      </c>
      <c r="G106" s="34" t="s">
        <v>1187</v>
      </c>
      <c r="H106" s="34" t="s">
        <v>1188</v>
      </c>
      <c r="I106" s="34" t="s">
        <v>1286</v>
      </c>
      <c r="J106" s="34" t="s">
        <v>1287</v>
      </c>
      <c r="K106" s="34" t="s">
        <v>1191</v>
      </c>
      <c r="L106" s="34" t="s">
        <v>1288</v>
      </c>
      <c r="M106" s="34" t="s">
        <v>1193</v>
      </c>
      <c r="N106" s="34" t="s">
        <v>1194</v>
      </c>
      <c r="O106" s="34" t="s">
        <v>1305</v>
      </c>
      <c r="P106" s="34" t="s">
        <v>31</v>
      </c>
      <c r="Q106" s="34" t="s">
        <v>1196</v>
      </c>
      <c r="R106" s="34" t="s">
        <v>1303</v>
      </c>
      <c r="S106" s="42" t="s">
        <v>476</v>
      </c>
      <c r="T106" s="34" t="s">
        <v>1510</v>
      </c>
      <c r="U106" s="34" t="s">
        <v>1304</v>
      </c>
      <c r="V106" s="34" t="s">
        <v>1290</v>
      </c>
      <c r="W106" s="32" t="s">
        <v>1511</v>
      </c>
      <c r="X106" s="29" t="s">
        <v>1512</v>
      </c>
      <c r="Y106" s="29" t="s">
        <v>1513</v>
      </c>
      <c r="Z106" s="29" t="s">
        <v>1514</v>
      </c>
      <c r="AA106" s="29" t="s">
        <v>1291</v>
      </c>
      <c r="AB106" s="29" t="s">
        <v>1391</v>
      </c>
      <c r="AC106" s="29" t="s">
        <v>1392</v>
      </c>
      <c r="AD106" s="29" t="s">
        <v>1386</v>
      </c>
      <c r="AE106" s="29" t="s">
        <v>1292</v>
      </c>
      <c r="AF106" s="29" t="s">
        <v>1200</v>
      </c>
      <c r="AG106" s="29" t="s">
        <v>1201</v>
      </c>
      <c r="AH106" s="29" t="s">
        <v>1293</v>
      </c>
      <c r="AI106" s="31" t="s">
        <v>1292</v>
      </c>
      <c r="AJ106" s="29" t="s">
        <v>1303</v>
      </c>
      <c r="AK106" s="29" t="s">
        <v>1306</v>
      </c>
      <c r="AL106" s="29" t="s">
        <v>1145</v>
      </c>
      <c r="AM106" s="29" t="s">
        <v>1288</v>
      </c>
    </row>
    <row r="107" spans="1:39" ht="100" hidden="1" customHeight="1">
      <c r="A107" s="34" t="s">
        <v>483</v>
      </c>
      <c r="B107" s="34" t="s">
        <v>1307</v>
      </c>
      <c r="C107" s="34" t="s">
        <v>1308</v>
      </c>
      <c r="D107" s="34" t="s">
        <v>1309</v>
      </c>
      <c r="E107" s="34" t="s">
        <v>1310</v>
      </c>
      <c r="F107" s="34" t="s">
        <v>1311</v>
      </c>
      <c r="G107" s="34" t="s">
        <v>1312</v>
      </c>
      <c r="H107" s="34" t="s">
        <v>1188</v>
      </c>
      <c r="I107" s="34" t="s">
        <v>1313</v>
      </c>
      <c r="J107" s="34" t="s">
        <v>1314</v>
      </c>
      <c r="K107" s="34" t="s">
        <v>1191</v>
      </c>
      <c r="L107" s="34" t="s">
        <v>1315</v>
      </c>
      <c r="M107" s="34" t="s">
        <v>1217</v>
      </c>
      <c r="N107" s="34" t="s">
        <v>1194</v>
      </c>
      <c r="O107" s="34" t="s">
        <v>1316</v>
      </c>
      <c r="P107" s="34" t="s">
        <v>31</v>
      </c>
      <c r="Q107" s="34" t="s">
        <v>1196</v>
      </c>
      <c r="R107" s="34" t="s">
        <v>1308</v>
      </c>
      <c r="S107" s="42" t="s">
        <v>479</v>
      </c>
      <c r="T107" s="34" t="s">
        <v>1526</v>
      </c>
      <c r="U107" s="34" t="s">
        <v>1310</v>
      </c>
      <c r="V107" s="34" t="s">
        <v>1317</v>
      </c>
      <c r="W107" s="32" t="s">
        <v>1527</v>
      </c>
      <c r="X107" s="29" t="s">
        <v>1528</v>
      </c>
      <c r="Y107" s="29" t="s">
        <v>1529</v>
      </c>
      <c r="Z107" s="29" t="s">
        <v>1530</v>
      </c>
      <c r="AA107" s="29" t="s">
        <v>1318</v>
      </c>
      <c r="AB107" s="29" t="s">
        <v>1393</v>
      </c>
      <c r="AC107" s="29" t="s">
        <v>1394</v>
      </c>
      <c r="AD107" s="29" t="s">
        <v>1395</v>
      </c>
      <c r="AE107" s="29" t="s">
        <v>1319</v>
      </c>
      <c r="AF107" s="29" t="s">
        <v>1222</v>
      </c>
      <c r="AG107" s="29" t="s">
        <v>1201</v>
      </c>
      <c r="AH107" s="29" t="s">
        <v>1320</v>
      </c>
      <c r="AI107" s="31" t="s">
        <v>1319</v>
      </c>
      <c r="AJ107" s="29" t="s">
        <v>1308</v>
      </c>
      <c r="AK107" s="29" t="s">
        <v>1321</v>
      </c>
      <c r="AL107" s="29" t="s">
        <v>1109</v>
      </c>
      <c r="AM107" s="29" t="s">
        <v>1315</v>
      </c>
    </row>
    <row r="108" spans="1:39" ht="100" hidden="1" customHeight="1">
      <c r="A108" s="34" t="s">
        <v>486</v>
      </c>
      <c r="B108" s="34" t="s">
        <v>1307</v>
      </c>
      <c r="C108" s="34" t="s">
        <v>1308</v>
      </c>
      <c r="D108" s="34" t="s">
        <v>1309</v>
      </c>
      <c r="E108" s="34" t="s">
        <v>1322</v>
      </c>
      <c r="F108" s="34" t="s">
        <v>1311</v>
      </c>
      <c r="G108" s="34" t="s">
        <v>1312</v>
      </c>
      <c r="H108" s="34" t="s">
        <v>1188</v>
      </c>
      <c r="I108" s="34" t="s">
        <v>1313</v>
      </c>
      <c r="J108" s="34" t="s">
        <v>1314</v>
      </c>
      <c r="K108" s="34" t="s">
        <v>1191</v>
      </c>
      <c r="L108" s="34" t="s">
        <v>1315</v>
      </c>
      <c r="M108" s="34" t="s">
        <v>1217</v>
      </c>
      <c r="N108" s="34" t="s">
        <v>1194</v>
      </c>
      <c r="O108" s="34" t="s">
        <v>1323</v>
      </c>
      <c r="P108" s="34" t="s">
        <v>31</v>
      </c>
      <c r="Q108" s="34" t="s">
        <v>1196</v>
      </c>
      <c r="R108" s="34" t="s">
        <v>1308</v>
      </c>
      <c r="S108" s="42" t="s">
        <v>479</v>
      </c>
      <c r="T108" s="34" t="s">
        <v>1526</v>
      </c>
      <c r="U108" s="34" t="s">
        <v>1322</v>
      </c>
      <c r="V108" s="34" t="s">
        <v>1317</v>
      </c>
      <c r="W108" s="32" t="s">
        <v>1527</v>
      </c>
      <c r="X108" s="29" t="s">
        <v>1528</v>
      </c>
      <c r="Y108" s="29" t="s">
        <v>1529</v>
      </c>
      <c r="Z108" s="29" t="s">
        <v>1530</v>
      </c>
      <c r="AA108" s="29" t="s">
        <v>1318</v>
      </c>
      <c r="AB108" s="29" t="s">
        <v>1396</v>
      </c>
      <c r="AC108" s="29" t="s">
        <v>1397</v>
      </c>
      <c r="AD108" s="29" t="s">
        <v>1395</v>
      </c>
      <c r="AE108" s="29" t="s">
        <v>1319</v>
      </c>
      <c r="AF108" s="29" t="s">
        <v>1222</v>
      </c>
      <c r="AG108" s="29" t="s">
        <v>1201</v>
      </c>
      <c r="AH108" s="29" t="s">
        <v>1320</v>
      </c>
      <c r="AI108" s="31" t="s">
        <v>1319</v>
      </c>
      <c r="AJ108" s="29" t="s">
        <v>1308</v>
      </c>
      <c r="AK108" s="29" t="s">
        <v>1324</v>
      </c>
      <c r="AL108" s="29" t="s">
        <v>1159</v>
      </c>
      <c r="AM108" s="29" t="s">
        <v>1315</v>
      </c>
    </row>
    <row r="109" ht="175" customHeight="1">
      <c r="A109" s="34" t="inlineStr">
        <is>
          <t>Maíz</t>
        </is>
      </c>
      <c r="B109" s="34" t="inlineStr">
        <is>
          <t>MAT</t>
        </is>
      </c>
      <c r="C109" s="34" t="inlineStr">
        <is>
          <t>Secado y cosecha después de R6</t>
        </is>
      </c>
      <c r="D109" s="34" t="inlineStr">
        <is>
          <t>Lluvia durante secado en campo</t>
        </is>
      </c>
      <c r="E109" s="34" t="inlineStr">
        <is>
          <t>P diaria &gt;10 mm</t>
        </is>
      </c>
      <c r="F109" s="34" t="inlineStr">
        <is>
          <t>Indicador climático regional</t>
        </is>
      </c>
      <c r="G109" s="34" t="inlineStr">
        <is>
          <t>Indicador de lluvia durante secado y riesgo de deterioro de calidad; no predice pérdida por sí solo.</t>
        </is>
      </c>
      <c r="H109" s="34" t="inlineStr">
        <is>
          <t>No se deriva porcentaje de pérdida</t>
        </is>
      </c>
      <c r="I109" s="34" t="inlineStr">
        <is>
          <t>Ortega Gómez et al. (2019)</t>
        </is>
      </c>
      <c r="J109" s="34" t="inlineStr">
        <is>
          <t>PDF p.11 (impresa 36), Fig.2 y Tabla2, WDH10oct/WDH10nov; discusión PDF p.15.</t>
        </is>
      </c>
      <c r="K109" s="34" t="inlineStr">
        <is>
          <t>Number of wet days with precipitation higher than 10 mm for the month of October.</t>
        </is>
      </c>
      <c r="L109" s="34" t="inlineStr">
        <is>
          <t>Parte terminal de MAT, después de R6. Indicador regional, no mínimo universal de daño. Tabla usa &gt;10 mm; resumen usa ≥10. Aplicar calendario local, no copiar octubre/noviembre.</t>
        </is>
      </c>
      <c r="M109" s="34" t="inlineStr">
        <is>
          <t>Abrir PDF completo</t>
        </is>
      </c>
      <c r="N109" s="34" t="inlineStr">
        <is>
          <t>Abrir DOI / editor</t>
        </is>
      </c>
      <c r="O109" s="34" t="inlineStr">
        <is>
          <t>INV7-109</t>
        </is>
      </c>
      <c r="P109" s="34" t="inlineStr">
        <is>
          <t>Pendiente de revisión humana</t>
        </is>
      </c>
      <c r="Q109" s="34" t="inlineStr">
        <is>
          <t>Nueva fuente07/10/2026; no validada por la revisora</t>
        </is>
      </c>
      <c r="R109" s="34" t="inlineStr">
        <is>
          <t>Secado y cosecha después de R6</t>
        </is>
      </c>
      <c r="S109" s="42" t="inlineStr">
        <is>
          <t>MAT</t>
        </is>
      </c>
      <c r="T109" s="34" t="inlineStr">
        <is>
          <t>Precipitación total diaria (mm/día)</t>
        </is>
      </c>
      <c r="U109" s="34" t="inlineStr">
        <is>
          <t>P diaria &gt;10 mm</t>
        </is>
      </c>
      <c r="V109" s="34" t="inlineStr">
        <is>
          <t>Un día; sin mínimo de racha publicado</t>
        </is>
      </c>
      <c r="W109" s="32" t="inlineStr">
        <is>
          <t>Directa · precipitación diaria</t>
        </is>
      </c>
      <c r="X109" s="29" t="inlineStr">
        <is>
          <t>total_precipitation (tp), producto horario</t>
        </is>
      </c>
      <c r="Y109" s="29" t="inlineStr">
        <is>
          <t>Desacumular correctamente tp horario; convertir m a mm y sumar por día local. El producto diario de estadísticos ERA5-Land omite tp.</t>
        </is>
      </c>
      <c r="Z109" s="29" t="inlineStr">
        <is>
          <t>Parte terminal de MAT, después de R6. Indicador regional, no mínimo universal de daño. Tabla usa &gt;10 mm; resumen usa ≥10. Aplicar calendario local, no copiar octubre/noviembre.</t>
        </is>
      </c>
      <c r="AA109" s="29" t="inlineStr">
        <is>
          <t>10.21640/ns.v11i22.1682</t>
        </is>
      </c>
      <c r="AB109" s="29" t="inlineStr">
        <is>
          <t>Number of wet days with precipitation higher than 10 mm for the month of October.</t>
        </is>
      </c>
      <c r="AC109" s="29" t="inlineStr">
        <is>
          <t>PDF p.11 (impresa 36), Fig.2 y Tabla2, WDH10oct/WDH10nov; discusión PDF p.15.</t>
        </is>
      </c>
      <c r="AD109" s="29" t="inlineStr">
        <is>
          <t>Celda literal de Tabla2, no párrafo. Solo se normalizan saltos de línea.</t>
        </is>
      </c>
      <c r="AE109" s="29" t="inlineStr">
        <is>
          <t>Contar días con P&gt;10 mm en secado previo a cosecha. Episodios: agrupar consecutivos solo como convención declarada.</t>
        </is>
      </c>
      <c r="AF109" s="29" t="inlineStr">
        <is>
          <t>PDF completo descargado y texto contrastado</t>
        </is>
      </c>
      <c r="AG109" s="29" t="inlineStr">
        <is>
          <t>2026-10-07</t>
        </is>
      </c>
      <c r="AH109" s="29" t="inlineStr">
        <is>
          <t>Sustituye prioridad de Auditoría fila107; registro previo conservado.</t>
        </is>
      </c>
      <c r="AI109" s="31" t="inlineStr">
        <is>
          <t>REGLA DEFINIDA · indicador</t>
        </is>
      </c>
      <c r="AJ109" s="29" t="inlineStr">
        <is>
          <t>Secado y cosecha después de R6</t>
        </is>
      </c>
      <c r="AK109" s="29" t="inlineStr">
        <is>
          <t>Contar días con P&gt;10 mm en secado previo a cosecha. Episodios: agrupar consecutivos solo como convención declarada.</t>
        </is>
      </c>
      <c r="AL109" s="29" t="inlineStr">
        <is>
          <t>Tabla maestra fila13; fuente anterior: Auditoría fila107</t>
        </is>
      </c>
      <c r="AM109" s="29" t="inlineStr">
        <is>
          <t>Parte terminal de MAT, después de R6. Indicador regional, no mínimo universal de daño. Tabla usa &gt;10 mm; resumen usa ≥10. Aplicar calendario local, no copiar octubre/noviembre.</t>
        </is>
      </c>
    </row>
    <row r="110" ht="175" customHeight="1">
      <c r="A110" s="34" t="inlineStr">
        <is>
          <t>Soya</t>
        </is>
      </c>
      <c r="B110" s="34" t="inlineStr">
        <is>
          <t>EST</t>
        </is>
      </c>
      <c r="C110" s="34" t="inlineStr">
        <is>
          <t>Emergencia y plántula; Fig.4: emergencia a 15 DAS</t>
        </is>
      </c>
      <c r="D110" s="34" t="inlineStr">
        <is>
          <t>Helada en emergencia</t>
        </is>
      </c>
      <c r="E110" s="34" t="inlineStr">
        <is>
          <t>Tmin &lt;0 °C</t>
        </is>
      </c>
      <c r="F110" s="34" t="inlineStr">
        <is>
          <t>Riesgo climático de helada</t>
        </is>
      </c>
      <c r="G110" s="34" t="inlineStr">
        <is>
          <t>Exposición a helada en plantas emergidas; daño depende de intensidad y duración.</t>
        </is>
      </c>
      <c r="H110" s="34" t="inlineStr">
        <is>
          <t>No se deriva porcentaje de pérdida</t>
        </is>
      </c>
      <c r="I110" s="34" t="inlineStr">
        <is>
          <t>Mourtzinis, Specht y Conley (2019)</t>
        </is>
      </c>
      <c r="J110" s="34" t="inlineStr">
        <is>
          <t>PDF p.4, Results and Discussion (spring frost); p.5 Fig.4; p.6 métodos de probabilidades.</t>
        </is>
      </c>
      <c r="K110" s="34" t="inlineStr">
        <is>
          <t>daily minimum temperatures to drop below 0 °C at emergence</t>
        </is>
      </c>
      <c r="L110" s="34" t="inlineStr">
        <is>
          <t>Riesgo de helada, no mortalidad automática. La fuente utiliza mínimas diarias DAYMET en EE.UU. La intensidad, duración y respuesta varietal afectan daño; validar sesgo local de ERA5-Land.</t>
        </is>
      </c>
      <c r="M110" s="34" t="inlineStr">
        <is>
          <t>Abrir PDF completo</t>
        </is>
      </c>
      <c r="N110" s="34" t="inlineStr">
        <is>
          <t>Abrir DOI / editor</t>
        </is>
      </c>
      <c r="O110" s="34" t="inlineStr">
        <is>
          <t>INV7-110</t>
        </is>
      </c>
      <c r="P110" s="34" t="inlineStr">
        <is>
          <t>Pendiente de revisión humana</t>
        </is>
      </c>
      <c r="Q110" s="34" t="inlineStr">
        <is>
          <t>Nueva fuente07/10/2026; no validada por la revisora</t>
        </is>
      </c>
      <c r="R110" s="34" t="inlineStr">
        <is>
          <t>Emergencia y plántula; Fig.4: emergencia a 15 DAS</t>
        </is>
      </c>
      <c r="S110" s="42" t="inlineStr">
        <is>
          <t>EST</t>
        </is>
      </c>
      <c r="T110" s="34" t="inlineStr">
        <is>
          <t>Temperatura mínima diaria del aire a 2 m</t>
        </is>
      </c>
      <c r="U110" s="34" t="inlineStr">
        <is>
          <t>Tmin &lt;0 °C</t>
        </is>
      </c>
      <c r="V110" s="34" t="inlineStr">
        <is>
          <t>Diaria; sin horas mínimas de daño publicadas</t>
        </is>
      </c>
      <c r="W110" s="32" t="inlineStr">
        <is>
          <t>Directa · mínima diaria del aire</t>
        </is>
      </c>
      <c r="X110" s="29" t="inlineStr">
        <is>
          <t>2m_temperature; daily_minimum</t>
        </is>
      </c>
      <c r="Y110" s="29" t="inlineStr">
        <is>
          <t>Obtener mínima de temperatura horaria a 2 m para el día local; K−273.15 a °C. Mantener día y muestreo consistentes.</t>
        </is>
      </c>
      <c r="Z110" s="29" t="inlineStr">
        <is>
          <t>Riesgo de helada, no mortalidad automática. La fuente utiliza mínimas diarias DAYMET en EE.UU. La intensidad, duración y respuesta varietal afectan daño; validar sesgo local de ERA5-Land.</t>
        </is>
      </c>
      <c r="AA110" s="29" t="inlineStr">
        <is>
          <t>10.1038/s41598-019-38971-3</t>
        </is>
      </c>
      <c r="AB110" s="29" t="inlineStr">
        <is>
          <t>daily minimum temperatures to drop below 0 °C at emergence</t>
        </is>
      </c>
      <c r="AC110" s="29" t="inlineStr">
        <is>
          <t>PDF p.4, Results and Discussion (spring frost); p.5 Fig.4; p.6 métodos de probabilidades.</t>
        </is>
      </c>
      <c r="AD110" s="29" t="inlineStr">
        <is>
          <t>Fragmento literal de oración; no párrafo completo. Solo saltos de línea normalizados.</t>
        </is>
      </c>
      <c r="AE110" s="29" t="inlineStr">
        <is>
          <t>Contar días con Tmin&lt;0 °C después de emergencia; calcular proporción de ciclos expuestos. No interpretar cada día como muerte del cultivo.</t>
        </is>
      </c>
      <c r="AF110" s="29" t="inlineStr">
        <is>
          <t>PDF completo descargado y texto contrastado</t>
        </is>
      </c>
      <c r="AG110" s="29" t="inlineStr">
        <is>
          <t>2026-10-07</t>
        </is>
      </c>
      <c r="AH110" s="29" t="inlineStr">
        <is>
          <t>Sustituye prioridad de Auditoría fila76; registro previo conservado.</t>
        </is>
      </c>
      <c r="AI110" s="31" t="inlineStr">
        <is>
          <t>REGLA DEFINIDA · riesgo de helada</t>
        </is>
      </c>
      <c r="AJ110" s="29" t="inlineStr">
        <is>
          <t>Emergencia y plántula; Fig.4: emergencia a 15 DAS</t>
        </is>
      </c>
      <c r="AK110" s="29" t="inlineStr">
        <is>
          <t>Contar días con Tmin&lt;0 °C después de emergencia; calcular proporción de ciclos expuestos. No interpretar cada día como muerte del cultivo.</t>
        </is>
      </c>
      <c r="AL110" s="29" t="inlineStr">
        <is>
          <t>Tabla maestra fila20; fuente anterior: Auditoría fila76</t>
        </is>
      </c>
      <c r="AM110" s="29" t="inlineStr">
        <is>
          <t>Riesgo de helada, no mortalidad automática. La fuente utiliza mínimas diarias DAYMET en EE.UU. La intensidad, duración y respuesta varietal afectan daño; validar sesgo local de ERA5-Land.</t>
        </is>
      </c>
    </row>
    <row r="111" ht="175" customHeight="1">
      <c r="A111" s="34" t="inlineStr">
        <is>
          <t>Soya</t>
        </is>
      </c>
      <c r="B111" s="34" t="inlineStr">
        <is>
          <t>VEG</t>
        </is>
      </c>
      <c r="C111" s="34" t="inlineStr">
        <is>
          <t>Cuatro hojas trifoliadas completamente expandidas (V4)</t>
        </is>
      </c>
      <c r="D111" s="34" t="inlineStr">
        <is>
          <t>Calor diurno sostenido</t>
        </is>
      </c>
      <c r="E111" s="34" t="inlineStr">
        <is>
          <t>45 °C, tratamiento; filtro propuesto T≥45 °C</t>
        </is>
      </c>
      <c r="F111" s="34" t="inlineStr">
        <is>
          <t>Exposición experimental en cámara</t>
        </is>
      </c>
      <c r="G111" s="34" t="inlineStr">
        <is>
          <t>Cambios fisiológicos en fotosíntesis, fluorescencia y cloroplastos; respuestas dependen de genotipo y momento.</t>
        </is>
      </c>
      <c r="H111" s="34" t="inlineStr">
        <is>
          <t>No se deriva porcentaje de pérdida</t>
        </is>
      </c>
      <c r="I111" s="34" t="inlineStr">
        <is>
          <t>Herritt y Fritschi (2020)</t>
        </is>
      </c>
      <c r="J111" s="34" t="inlineStr">
        <is>
          <t>PDF p.3, Materials and Methods / Genotypes and Growth Conditions; V4, meseta09:00–13:00 y7d.</t>
        </is>
      </c>
      <c r="K111" s="34" t="inlineStr">
        <is>
          <t>38 or 45°C by 9:00 am and held at these temperatures until 1:00 pm.</t>
        </is>
      </c>
      <c r="L111" s="34" t="inlineStr">
        <is>
          <t>Tratamiento de aire en V4, 09:00–13:00 durante7d. Su transferencia al campo es aproximada. ≥45 es filtro analítico, no corte estimado por el paper. Datos horarios aproximan permanencia; no garantizan 4h continuas.</t>
        </is>
      </c>
      <c r="M111" s="34" t="inlineStr">
        <is>
          <t>Abrir PDF completo</t>
        </is>
      </c>
      <c r="N111" s="34" t="inlineStr">
        <is>
          <t>Abrir DOI / editor</t>
        </is>
      </c>
      <c r="O111" s="34" t="inlineStr">
        <is>
          <t>INV7-111</t>
        </is>
      </c>
      <c r="P111" s="34" t="inlineStr">
        <is>
          <t>Pendiente de revisión humana</t>
        </is>
      </c>
      <c r="Q111" s="34" t="inlineStr">
        <is>
          <t>Nueva fuente07/10/2026; no validada por la revisora</t>
        </is>
      </c>
      <c r="R111" s="34" t="inlineStr">
        <is>
          <t>Cuatro hojas trifoliadas completamente expandidas (V4)</t>
        </is>
      </c>
      <c r="S111" s="42" t="inlineStr">
        <is>
          <t>VEG</t>
        </is>
      </c>
      <c r="T111" s="34" t="inlineStr">
        <is>
          <t>Temperatura horaria del aire; permanencia a 45 °C</t>
        </is>
      </c>
      <c r="U111" s="34" t="inlineStr">
        <is>
          <t>45 °C, tratamiento; filtro propuesto T≥45 °C</t>
        </is>
      </c>
      <c r="V111" s="34" t="inlineStr">
        <is>
          <t>4 h/día durante 7 días consecutivos</t>
        </is>
      </c>
      <c r="W111" s="32" t="inlineStr">
        <is>
          <t>Horaria · aproximación de dosis experimental</t>
        </is>
      </c>
      <c r="X111" s="29" t="inlineStr">
        <is>
          <t>2m_temperature (horaria); no daily_maximum como sustituto</t>
        </is>
      </c>
      <c r="Y111" s="29" t="inlineStr">
        <is>
          <t>Convertir t2m a °C; evaluar permanencia horaria y repetición entre días. Cuatro muestras puntuales no prueban4h continuas; estación subhoraria mejora validación.</t>
        </is>
      </c>
      <c r="Z111" s="29" t="inlineStr">
        <is>
          <t>Tratamiento de aire en V4, 09:00–13:00 durante7d. Su transferencia al campo es aproximada. ≥45 es filtro analítico, no corte estimado por el paper. Datos horarios aproximan permanencia; no garantizan 4h continuas.</t>
        </is>
      </c>
      <c r="AA111" s="29" t="inlineStr">
        <is>
          <t>10.3389/fpls.2020.00153</t>
        </is>
      </c>
      <c r="AB111" s="29" t="inlineStr">
        <is>
          <t>38 or 45°C by 9:00 am and held at these temperatures until 1:00 pm.</t>
        </is>
      </c>
      <c r="AC111" s="29" t="inlineStr">
        <is>
          <t>PDF p.3, Materials and Methods / Genotypes and Growth Conditions; V4, meseta09:00–13:00 y7d.</t>
        </is>
      </c>
      <c r="AD111" s="29" t="inlineStr">
        <is>
          <t>Fragmento literal del protocolo diurno; el tratamiento de7d y V4 se comprueba en el mismo apartado. No párrafo completo.</t>
        </is>
      </c>
      <c r="AE111" s="29" t="inlineStr">
        <is>
          <t>Buscar bloques de 7 días con aproximadamente 4 h diarias a T≥45 °C. Es filtro propuesto comparable al tratamiento, no umbral mínimo de daño; Tmax sola no basta.</t>
        </is>
      </c>
      <c r="AF111" s="29" t="inlineStr">
        <is>
          <t>PDF completo descargado y texto contrastado</t>
        </is>
      </c>
      <c r="AG111" s="29" t="inlineStr">
        <is>
          <t>2026-10-07</t>
        </is>
      </c>
      <c r="AH111" s="29" t="inlineStr">
        <is>
          <t>Sustituye prioridad de Auditoría fila103; registro previo conservado.</t>
        </is>
      </c>
      <c r="AI111" s="31" t="inlineStr">
        <is>
          <t>REGLA DEFINIDA · experimental</t>
        </is>
      </c>
      <c r="AJ111" s="29" t="inlineStr">
        <is>
          <t>Cuatro hojas trifoliadas completamente expandidas (V4)</t>
        </is>
      </c>
      <c r="AK111" s="29" t="inlineStr">
        <is>
          <t>Buscar bloques de 7 días con aproximadamente 4 h diarias a T≥45 °C. Es filtro propuesto comparable al tratamiento, no umbral mínimo de daño; Tmax sola no basta.</t>
        </is>
      </c>
      <c r="AL111" s="29" t="inlineStr">
        <is>
          <t>Tabla maestra fila21; fuente anterior: Auditoría fila103</t>
        </is>
      </c>
      <c r="AM111" s="29" t="inlineStr">
        <is>
          <t>Tratamiento de aire en V4, 09:00–13:00 durante7d. Su transferencia al campo es aproximada. ≥45 es filtro analítico, no corte estimado por el paper. Datos horarios aproximan permanencia; no garantizan 4h continuas.</t>
        </is>
      </c>
    </row>
    <row r="112" ht="175" customHeight="1">
      <c r="A112" s="34" t="inlineStr">
        <is>
          <t>Soya</t>
        </is>
      </c>
      <c r="B112" s="34" t="inlineStr">
        <is>
          <t>REP</t>
        </is>
      </c>
      <c r="C112" s="34" t="inlineStr">
        <is>
          <t>Preantesis: tramo0.45–0.50GPL de ventana sensible0.45–0.70GPL</t>
        </is>
      </c>
      <c r="D112" s="34" t="inlineStr">
        <is>
          <t>Calor reproductivo (modelo)</t>
        </is>
      </c>
      <c r="E112" s="34" t="inlineStr">
        <is>
          <t>Teff &gt;35 °C; límite del modelo40 °C</t>
        </is>
      </c>
      <c r="F112" s="34" t="inlineStr">
        <is>
          <t>Regla térmica de modelo; homologación limítrofe</t>
        </is>
      </c>
      <c r="G112" s="34" t="inlineStr">
        <is>
          <t>Reducción modelada del factor de producción; no umbral de daño experimental independiente para REP.</t>
        </is>
      </c>
      <c r="H112" s="34" t="inlineStr">
        <is>
          <t>No se deriva porcentaje de pérdida</t>
        </is>
      </c>
      <c r="I112" s="34" t="inlineStr">
        <is>
          <t>Deryng et al. (2014)</t>
        </is>
      </c>
      <c r="J112" s="34" t="inlineStr">
        <is>
          <t>PDF p.11 (impresa10), ApéndiceA.3, ecuaciónA.6 y TablaA.1; antesis0.50GPL.</t>
        </is>
      </c>
      <c r="K112" s="34" t="inlineStr">
        <is>
          <t>TSP starts a few days before anthesis at 0.45 GPL</t>
        </is>
      </c>
      <c r="L112" s="34" t="inlineStr">
        <is>
          <t>Aceptada por criterio de ventana limítrofe. El paper NO define una regla independiente para formación de vainas/R3–R4. Asignar preantesis a REP es homologación propuesta y debe corroborarse; no extender a toda REP.</t>
        </is>
      </c>
      <c r="M112" s="34" t="inlineStr">
        <is>
          <t>Abrir PDF completo</t>
        </is>
      </c>
      <c r="N112" s="34" t="inlineStr">
        <is>
          <t>Abrir DOI / editor</t>
        </is>
      </c>
      <c r="O112" s="34" t="inlineStr">
        <is>
          <t>INV7-112</t>
        </is>
      </c>
      <c r="P112" s="34" t="inlineStr">
        <is>
          <t>Pendiente de revisión humana</t>
        </is>
      </c>
      <c r="Q112" s="34" t="inlineStr">
        <is>
          <t>Nueva fuente07/10/2026; no validada por la revisora</t>
        </is>
      </c>
      <c r="R112" s="34" t="inlineStr">
        <is>
          <t>Preantesis: tramo0.45–0.50GPL de ventana sensible0.45–0.70GPL</t>
        </is>
      </c>
      <c r="S112" s="42" t="inlineStr">
        <is>
          <t>REP</t>
        </is>
      </c>
      <c r="T112" s="34" t="inlineStr">
        <is>
          <t>Teff diaria=(Tmedia diaria+Tmáxima diaria)/2</t>
        </is>
      </c>
      <c r="U112" s="34" t="inlineStr">
        <is>
          <t>Teff &gt;35 °C; límite del modelo40 °C</t>
        </is>
      </c>
      <c r="V112" s="34" t="inlineStr">
        <is>
          <t>Diaria; sin mínimo de racha</t>
        </is>
      </c>
      <c r="W112" s="32" t="inlineStr">
        <is>
          <t>Derivada · media y máxima diarias del aire</t>
        </is>
      </c>
      <c r="X112" s="29" t="inlineStr">
        <is>
          <t>2m_temperature; daily_mean + daily_maximum</t>
        </is>
      </c>
      <c r="Y112" s="29" t="inlineStr">
        <is>
          <t>Calcular Tmedia y Tmax del mismo día local y muestreo horario; Teff=(Tmedia+Tmax)/2. A35 el factor no reduce producción; por eso filtro&gt;35.</t>
        </is>
      </c>
      <c r="Z112" s="29" t="inlineStr">
        <is>
          <t>Aceptada por criterio de ventana limítrofe. El paper NO define una regla independiente para formación de vainas/R3–R4. Asignar preantesis a REP es homologación propuesta y debe corroborarse; no extender a toda REP.</t>
        </is>
      </c>
      <c r="AA112" s="29" t="inlineStr">
        <is>
          <t>10.1088/1748-9326/9/3/034011</t>
        </is>
      </c>
      <c r="AB112" s="29" t="inlineStr">
        <is>
          <t>TSP starts a few days before anthesis at 0.45 GPL</t>
        </is>
      </c>
      <c r="AC112" s="29" t="inlineStr">
        <is>
          <t>PDF p.11 (impresa10), ApéndiceA.3, ecuaciónA.6 y TablaA.1; antesis0.50GPL.</t>
        </is>
      </c>
      <c r="AD112" s="29" t="inlineStr">
        <is>
          <t>Fragmento literal sobre inicio de ventana. El corte35/40 está en TablaA.1; la asignación a REP es interpretación, no cita.</t>
        </is>
      </c>
      <c r="AE112" s="29" t="inlineStr">
        <is>
          <t>Contar días con Teff&gt;35 °C solo en ventana respaldada. Antes de aplicar REP, comprobar correspondencia de preantesis con calendario de tesis; no duplicar evento con FLO.</t>
        </is>
      </c>
      <c r="AF112" s="29" t="inlineStr">
        <is>
          <t>PDF completo descargado y texto contrastado</t>
        </is>
      </c>
      <c r="AG112" s="29" t="inlineStr">
        <is>
          <t>2026-10-07</t>
        </is>
      </c>
      <c r="AH112" s="29" t="inlineStr">
        <is>
          <t>Sustituye prioridad de Auditoría fila105; registro previo conservado.</t>
        </is>
      </c>
      <c r="AI112" s="31" t="inlineStr">
        <is>
          <t>REGLA DEFINIDA · modelo / límite</t>
        </is>
      </c>
      <c r="AJ112" s="29" t="inlineStr">
        <is>
          <t>Preantesis: tramo0.45–0.50GPL de ventana sensible0.45–0.70GPL</t>
        </is>
      </c>
      <c r="AK112" s="29" t="inlineStr">
        <is>
          <t>Contar días con Teff&gt;35 °C solo en ventana respaldada. Antes de aplicar REP, comprobar correspondencia de preantesis con calendario de tesis; no duplicar evento con FLO.</t>
        </is>
      </c>
      <c r="AL112" s="29" t="inlineStr">
        <is>
          <t>Tabla maestra fila22; fuente anterior: Auditoría fila105</t>
        </is>
      </c>
      <c r="AM112" s="29" t="inlineStr">
        <is>
          <t>Aceptada por criterio de ventana limítrofe. El paper NO define una regla independiente para formación de vainas/R3–R4. Asignar preantesis a REP es homologación propuesta y debe corroborarse; no extender a toda REP.</t>
        </is>
      </c>
    </row>
    <row r="113" ht="175" customHeight="1">
      <c r="A113" s="34" t="inlineStr">
        <is>
          <t>Soya</t>
        </is>
      </c>
      <c r="B113" s="34" t="inlineStr">
        <is>
          <t>FLO</t>
        </is>
      </c>
      <c r="C113" s="34" t="inlineStr">
        <is>
          <t>Antesis0.50GPL dentro de ventana sensible0.45–0.70GPL</t>
        </is>
      </c>
      <c r="D113" s="34" t="inlineStr">
        <is>
          <t>Calor en antesis (modelo)</t>
        </is>
      </c>
      <c r="E113" s="34" t="inlineStr">
        <is>
          <t>Teff &gt;35 °C; límite del modelo40 °C</t>
        </is>
      </c>
      <c r="F113" s="34" t="inlineStr">
        <is>
          <t>Regla térmica de modelo</t>
        </is>
      </c>
      <c r="G113" s="34" t="inlineStr">
        <is>
          <t>Estrés térmico en antesis y reducción modelada de producción.</t>
        </is>
      </c>
      <c r="H113" s="34" t="inlineStr">
        <is>
          <t>No se deriva porcentaje de pérdida</t>
        </is>
      </c>
      <c r="I113" s="34" t="inlineStr">
        <is>
          <t>Deryng et al. (2014)</t>
        </is>
      </c>
      <c r="J113" s="34" t="inlineStr">
        <is>
          <t>PDF p.11 (impresa10), ApéndiceA.3, ecuaciónA.6, TablaA.1 (Soybean, PEGASUS1.1: Tcr35; Tlim40).</t>
        </is>
      </c>
      <c r="K113" s="34" t="inlineStr">
        <is>
          <t>Teff is defined as ( Tmean+ Tmax)/2</t>
        </is>
      </c>
      <c r="L113" s="34" t="inlineStr">
        <is>
          <t>Parámetros de PEGASUS, no corte universal observado en campo. Comparte fuente y ventana con REP. No aplicar35 °C directamente a Tmax ni Tmedia por separado.</t>
        </is>
      </c>
      <c r="M113" s="34" t="inlineStr">
        <is>
          <t>Abrir PDF completo</t>
        </is>
      </c>
      <c r="N113" s="34" t="inlineStr">
        <is>
          <t>Abrir DOI / editor</t>
        </is>
      </c>
      <c r="O113" s="34" t="inlineStr">
        <is>
          <t>INV7-113</t>
        </is>
      </c>
      <c r="P113" s="34" t="inlineStr">
        <is>
          <t>Pendiente de revisión humana</t>
        </is>
      </c>
      <c r="Q113" s="34" t="inlineStr">
        <is>
          <t>Nueva fuente07/10/2026; no validada por la revisora</t>
        </is>
      </c>
      <c r="R113" s="34" t="inlineStr">
        <is>
          <t>Antesis0.50GPL dentro de ventana sensible0.45–0.70GPL</t>
        </is>
      </c>
      <c r="S113" s="42" t="inlineStr">
        <is>
          <t>FLO</t>
        </is>
      </c>
      <c r="T113" s="34" t="inlineStr">
        <is>
          <t>Teff diaria=(Tmedia diaria+Tmáxima diaria)/2</t>
        </is>
      </c>
      <c r="U113" s="34" t="inlineStr">
        <is>
          <t>Teff &gt;35 °C; límite del modelo40 °C</t>
        </is>
      </c>
      <c r="V113" s="34" t="inlineStr">
        <is>
          <t>Diaria; sin mínimo de racha</t>
        </is>
      </c>
      <c r="W113" s="32" t="inlineStr">
        <is>
          <t>Derivada · media y máxima diarias del aire</t>
        </is>
      </c>
      <c r="X113" s="29" t="inlineStr">
        <is>
          <t>2m_temperature; daily_mean + daily_maximum</t>
        </is>
      </c>
      <c r="Y113" s="29" t="inlineStr">
        <is>
          <t>Teff=(Tmedia+Tmax)/2 del mismo día local. Modela reducción lineal entre35y40 °C; Teff≥40 lleva factor diario a cero, no equivale a mortalidad observada.</t>
        </is>
      </c>
      <c r="Z113" s="29" t="inlineStr">
        <is>
          <t>Parámetros de PEGASUS, no corte universal observado en campo. Comparte fuente y ventana con REP. No aplicar35 °C directamente a Tmax ni Tmedia por separado.</t>
        </is>
      </c>
      <c r="AA113" s="29" t="inlineStr">
        <is>
          <t>10.1088/1748-9326/9/3/034011</t>
        </is>
      </c>
      <c r="AB113" s="29" t="inlineStr">
        <is>
          <t>Teff is defined as ( Tmean+ Tmax)/2</t>
        </is>
      </c>
      <c r="AC113" s="29" t="inlineStr">
        <is>
          <t>PDF p.11 (impresa10), ApéndiceA.3, ecuaciónA.6, TablaA.1 (Soybean, PEGASUS1.1: Tcr35; Tlim40).</t>
        </is>
      </c>
      <c r="AD113" s="29" t="inlineStr">
        <is>
          <t>Fragmento literal de definición; ligadura tipográfica normalizada. Valores35/40: consultar columnas Soybean en TablaA.1. No párrafo completo.</t>
        </is>
      </c>
      <c r="AE113" s="29" t="inlineStr">
        <is>
          <t>Contar días con Teff&gt;35 °C alrededor de antesis dentro de ventana sensible; registrar fechas reales de FLO. No sumar como evento distinto el mismo día registrado en REP.</t>
        </is>
      </c>
      <c r="AF113" s="29" t="inlineStr">
        <is>
          <t>PDF completo descargado y texto contrastado</t>
        </is>
      </c>
      <c r="AG113" s="29" t="inlineStr">
        <is>
          <t>2026-10-07</t>
        </is>
      </c>
      <c r="AH113" s="29" t="inlineStr">
        <is>
          <t>Sustituye prioridad de Auditoría fila79; registro previo conservado.</t>
        </is>
      </c>
      <c r="AI113" s="31" t="inlineStr">
        <is>
          <t>REGLA DEFINIDA · modelo</t>
        </is>
      </c>
      <c r="AJ113" s="29" t="inlineStr">
        <is>
          <t>Antesis0.50GPL dentro de ventana sensible0.45–0.70GPL</t>
        </is>
      </c>
      <c r="AK113" s="29" t="inlineStr">
        <is>
          <t>Contar días con Teff&gt;35 °C alrededor de antesis dentro de ventana sensible; registrar fechas reales de FLO. No sumar como evento distinto el mismo día registrado en REP.</t>
        </is>
      </c>
      <c r="AL113" s="29" t="inlineStr">
        <is>
          <t>Tabla maestra fila23; fuente anterior: Auditoría fila79</t>
        </is>
      </c>
      <c r="AM113" s="29" t="inlineStr">
        <is>
          <t>Parámetros de PEGASUS, no corte universal observado en campo. Comparte fuente y ventana con REP. No aplicar35 °C directamente a Tmax ni Tmedia por separado.</t>
        </is>
      </c>
    </row>
    <row r="114" ht="175" customHeight="1">
      <c r="A114" s="34" t="inlineStr">
        <is>
          <t>Trigo</t>
        </is>
      </c>
      <c r="B114" s="34" t="inlineStr">
        <is>
          <t>EST</t>
        </is>
      </c>
      <c r="C114" s="34" t="inlineStr">
        <is>
          <t>Initial seedling stage; emergencia y vigor inicial</t>
        </is>
      </c>
      <c r="D114" s="34" t="inlineStr">
        <is>
          <t>Frío durante emergencia</t>
        </is>
      </c>
      <c r="E114" s="34" t="inlineStr">
        <is>
          <t>Tmedia &lt;2 °C</t>
        </is>
      </c>
      <c r="F114" s="34" t="inlineStr">
        <is>
          <t>Regla de riesgo climático con respaldo bibliográfico</t>
        </is>
      </c>
      <c r="G114" s="34" t="inlineStr">
        <is>
          <t>Retraso de emergencia y bajo vigor de plántulas.</t>
        </is>
      </c>
      <c r="H114" s="34" t="inlineStr">
        <is>
          <t>No se deriva porcentaje de pérdida</t>
        </is>
      </c>
      <c r="I114" s="34" t="inlineStr">
        <is>
          <t>Le Roux et al. (2024)</t>
        </is>
      </c>
      <c r="J114" s="34" t="inlineStr">
        <is>
          <t>PDF p.4, Ecoclimatic indicators for wheat, párrafo sobre initial seedling stage; referencia33.</t>
        </is>
      </c>
      <c r="K114" s="34" t="inlineStr">
        <is>
          <t>low daily average temperatures below 2 °C (during more than 2 successive days) delay emergence and induce poor vigor</t>
        </is>
      </c>
      <c r="L114" s="34" t="inlineStr">
        <is>
          <t>El apartado cita evidencia fisiológica para retraso de emergencia/bajo vigor; no es nueva calibración de daño. Más de2d significa≥3d. No extrapolar a todo el crecimiento vegetativo.</t>
        </is>
      </c>
      <c r="M114" s="34" t="inlineStr">
        <is>
          <t>Abrir PDF completo</t>
        </is>
      </c>
      <c r="N114" s="34" t="inlineStr">
        <is>
          <t>Abrir DOI / editor</t>
        </is>
      </c>
      <c r="O114" s="34" t="inlineStr">
        <is>
          <t>INV7-114</t>
        </is>
      </c>
      <c r="P114" s="34" t="inlineStr">
        <is>
          <t>Pendiente de revisión humana</t>
        </is>
      </c>
      <c r="Q114" s="34" t="inlineStr">
        <is>
          <t>Nueva fuente07/10/2026; no validada por la revisora</t>
        </is>
      </c>
      <c r="R114" s="34" t="inlineStr">
        <is>
          <t>Initial seedling stage; emergencia y vigor inicial</t>
        </is>
      </c>
      <c r="S114" s="42" t="inlineStr">
        <is>
          <t>EST</t>
        </is>
      </c>
      <c r="T114" s="34" t="inlineStr">
        <is>
          <t>Temperatura media diaria del aire a 2 m</t>
        </is>
      </c>
      <c r="U114" s="34" t="inlineStr">
        <is>
          <t>Tmedia &lt;2 °C</t>
        </is>
      </c>
      <c r="V114" s="34" t="inlineStr">
        <is>
          <t>≥3 días consecutivos</t>
        </is>
      </c>
      <c r="W114" s="32" t="inlineStr">
        <is>
          <t>Directa · media diaria del aire</t>
        </is>
      </c>
      <c r="X114" s="29" t="inlineStr">
        <is>
          <t>2m_temperature; daily_mean</t>
        </is>
      </c>
      <c r="Y114" s="29" t="inlineStr">
        <is>
          <t>Media horaria por día local, convertida deK a°C. Buscar rachas consecutivas; no interpolar faltantes como días sin frío.</t>
        </is>
      </c>
      <c r="Z114" s="29" t="inlineStr">
        <is>
          <t>El apartado cita evidencia fisiológica para retraso de emergencia/bajo vigor; no es nueva calibración de daño. Más de2d significa≥3d. No extrapolar a todo el crecimiento vegetativo.</t>
        </is>
      </c>
      <c r="AA114" s="29" t="inlineStr">
        <is>
          <t>10.1038/s41598-024-58826-w</t>
        </is>
      </c>
      <c r="AB114" s="29" t="inlineStr">
        <is>
          <t>low daily average temperatures below 2 °C (during more than 2 successive days) delay emergence and induce poor vigor</t>
        </is>
      </c>
      <c r="AC114" s="29" t="inlineStr">
        <is>
          <t>PDF p.4, Ecoclimatic indicators for wheat, párrafo sobre initial seedling stage; referencia33.</t>
        </is>
      </c>
      <c r="AD114" s="29" t="inlineStr">
        <is>
          <t>Fragmento literal de oración; no párrafo completo. Se normalizan solo espacios y saltos.</t>
        </is>
      </c>
      <c r="AE114" s="29" t="inlineStr">
        <is>
          <t>Contar rachas máximas≥3d con Tmedia&lt;2 °C en establecimiento inicial. Una racha de5d cuenta como1episodio, no3ventanas solapadas.</t>
        </is>
      </c>
      <c r="AF114" s="29" t="inlineStr">
        <is>
          <t>PDF completo descargado y texto contrastado</t>
        </is>
      </c>
      <c r="AG114" s="29" t="inlineStr">
        <is>
          <t>2026-10-07</t>
        </is>
      </c>
      <c r="AH114" s="29" t="inlineStr">
        <is>
          <t>Sustituye prioridad de Auditoría fila82; registro previo conservado.</t>
        </is>
      </c>
      <c r="AI114" s="31" t="inlineStr">
        <is>
          <t>REGLA DEFINIDA · riesgo climático</t>
        </is>
      </c>
      <c r="AJ114" s="29" t="inlineStr">
        <is>
          <t>Initial seedling stage; emergencia y vigor inicial</t>
        </is>
      </c>
      <c r="AK114" s="29" t="inlineStr">
        <is>
          <t>Contar rachas máximas≥3d con Tmedia&lt;2 °C en establecimiento inicial. Una racha de5d cuenta como1episodio, no3ventanas solapadas.</t>
        </is>
      </c>
      <c r="AL114" s="29" t="inlineStr">
        <is>
          <t>Tabla maestra fila26; fuente anterior: Auditoría fila82</t>
        </is>
      </c>
      <c r="AM114" s="29" t="inlineStr">
        <is>
          <t>El apartado cita evidencia fisiológica para retraso de emergencia/bajo vigor; no es nueva calibración de daño. Más de2d significa≥3d. No extrapolar a todo el crecimiento vegetativo.</t>
        </is>
      </c>
    </row>
    <row r="115" ht="175" customHeight="1">
      <c r="A115" s="34" t="inlineStr">
        <is>
          <t>Trigo</t>
        </is>
      </c>
      <c r="B115" s="34" t="inlineStr">
        <is>
          <t>MAT</t>
        </is>
      </c>
      <c r="C115" s="34" t="inlineStr">
        <is>
          <t>Madurez de cosecha;55y56d después de antesis, ensayo2010</t>
        </is>
      </c>
      <c r="D115" s="34" t="inlineStr">
        <is>
          <t>Lluvia / longevidad de semilla</t>
        </is>
      </c>
      <c r="E115" s="34" t="inlineStr">
        <is>
          <t>25 mm/día, tratamiento; filtro propuesto P≥25 mm/día</t>
        </is>
      </c>
      <c r="F115" s="34" t="inlineStr">
        <is>
          <t>Exposición experimental con lluvia simulada</t>
        </is>
      </c>
      <c r="G115" s="34" t="inlineStr">
        <is>
          <t>Disminución de longevidad de semilla; recuperación parcial o total posterior posible; no germinación precosecha.</t>
        </is>
      </c>
      <c r="H115" s="34" t="inlineStr">
        <is>
          <t>No se deriva porcentaje de pérdida</t>
        </is>
      </c>
      <c r="I115" s="34" t="inlineStr">
        <is>
          <t>Ellis y Yadav (2016)</t>
        </is>
      </c>
      <c r="J115" s="34" t="inlineStr">
        <is>
          <t>PDF p.8 (manuscrito p.6), tratamiento2010; resultados PDF p.13 (manuscrito p.11).</t>
        </is>
      </c>
      <c r="K115" s="34" t="inlineStr">
        <is>
          <t>two simulated rainfall events one day apart, each of 25 mm, at 55 and 56 DAA.</t>
        </is>
      </c>
      <c r="L115" s="34" t="inlineStr">
        <is>
          <t>Efecto medido: longevidad de semilla, con posible recuperación. No hubo germinación precosecha.25mm no es mínimo universal de daño. Transferencia al campo y filtro≥ son decisiones analíticas.</t>
        </is>
      </c>
      <c r="M115" s="34" t="inlineStr">
        <is>
          <t>Abrir PDF completo</t>
        </is>
      </c>
      <c r="N115" s="34" t="inlineStr">
        <is>
          <t>Abrir DOI / editor</t>
        </is>
      </c>
      <c r="O115" s="34" t="inlineStr">
        <is>
          <t>INV7-115</t>
        </is>
      </c>
      <c r="P115" s="34" t="inlineStr">
        <is>
          <t>Pendiente de revisión humana</t>
        </is>
      </c>
      <c r="Q115" s="34" t="inlineStr">
        <is>
          <t>Nueva fuente07/10/2026; no validada por la revisora</t>
        </is>
      </c>
      <c r="R115" s="34" t="inlineStr">
        <is>
          <t>Madurez de cosecha;55y56d después de antesis, ensayo2010</t>
        </is>
      </c>
      <c r="S115" s="42" t="inlineStr">
        <is>
          <t>MAT</t>
        </is>
      </c>
      <c r="T115" s="34" t="inlineStr">
        <is>
          <t>Precipitación diaria; dos exposiciones sucesivas</t>
        </is>
      </c>
      <c r="U115" s="34" t="inlineStr">
        <is>
          <t>25 mm/día, tratamiento; filtro propuesto P≥25 mm/día</t>
        </is>
      </c>
      <c r="V115" s="34" t="inlineStr">
        <is>
          <t>2 días consecutivos</t>
        </is>
      </c>
      <c r="W115" s="32" t="inlineStr">
        <is>
          <t>Directa · lluvia diaria; transferencia experimental</t>
        </is>
      </c>
      <c r="X115" s="29" t="inlineStr">
        <is>
          <t>total_precipitation (tp), producto horario</t>
        </is>
      </c>
      <c r="Y115" s="29" t="inlineStr">
        <is>
          <t>Desacumular tp horario y sumar mm por día local. Exigir≥25mm en cada uno de2d, conservando que≥ es filtro propuesto y no breakpoint publicado.</t>
        </is>
      </c>
      <c r="Z115" s="29" t="inlineStr">
        <is>
          <t>Efecto medido: longevidad de semilla, con posible recuperación. No hubo germinación precosecha.25mm no es mínimo universal de daño. Transferencia al campo y filtro≥ son decisiones analíticas.</t>
        </is>
      </c>
      <c r="AA115" s="29" t="inlineStr">
        <is>
          <t>10.1017/S0960258515000392</t>
        </is>
      </c>
      <c r="AB115" s="29" t="inlineStr">
        <is>
          <t>two simulated rainfall events one day apart, each of 25 mm, at 55 and 56 DAA.</t>
        </is>
      </c>
      <c r="AC115" s="29" t="inlineStr">
        <is>
          <t>PDF p.8 (manuscrito p.6), tratamiento2010; resultados PDF p.13 (manuscrito p.11).</t>
        </is>
      </c>
      <c r="AD115" s="29" t="inlineStr">
        <is>
          <t>Fragmento literal del tratamiento; no párrafo completo. Solo saltos de línea normalizados.</t>
        </is>
      </c>
      <c r="AE115" s="29" t="inlineStr">
        <is>
          <t>Buscar rachas≥2d con P≥25 mm cada día, una vez por racha. ≥ es filtro propuesto; el paper ensaya25mm. No sustituir por50mm en un solo día.</t>
        </is>
      </c>
      <c r="AF115" s="29" t="inlineStr">
        <is>
          <t>PDF completo descargado y texto contrastado</t>
        </is>
      </c>
      <c r="AG115" s="29" t="inlineStr">
        <is>
          <t>2026-10-07</t>
        </is>
      </c>
      <c r="AH115" s="29" t="inlineStr">
        <is>
          <t>Sustituye prioridad de Auditoría fila108; registro previo conservado.</t>
        </is>
      </c>
      <c r="AI115" s="31" t="inlineStr">
        <is>
          <t>REGLA DEFINIDA · experimental</t>
        </is>
      </c>
      <c r="AJ115" s="29" t="inlineStr">
        <is>
          <t>Madurez de cosecha;55y56d después de antesis, ensayo2010</t>
        </is>
      </c>
      <c r="AK115" s="29" t="inlineStr">
        <is>
          <t>Buscar rachas≥2d con P≥25 mm cada día, una vez por racha. ≥ es filtro propuesto; el paper ensaya25mm. No sustituir por50mm en un solo día.</t>
        </is>
      </c>
      <c r="AL115" s="29" t="inlineStr">
        <is>
          <t>Tabla maestra fila31; fuente anterior: Auditoría fila108</t>
        </is>
      </c>
      <c r="AM115" s="29" t="inlineStr">
        <is>
          <t>Efecto medido: longevidad de semilla, con posible recuperación. No hubo germinación precosecha.25mm no es mínimo universal de daño. Transferencia al campo y filtro≥ son decisiones analíticas.</t>
        </is>
      </c>
    </row>
  </sheetData>
  <mergeCells count="2">
    <mergeCell ref="A1:Q1"/>
    <mergeCell ref="A2:Q2"/>
  </mergeCells>
  <conditionalFormatting sqref="P5:P66">
    <cfRule type="containsText" dxfId="4" priority="1" operator="containsText" text="Verificado"/>
    <cfRule type="containsText" dxfId="3" priority="2" operator="containsText" text="Requiere corrección"/>
    <cfRule type="containsText" dxfId="2" priority="3" operator="containsText" text="Pendiente"/>
  </conditionalFormatting>
  <dataValidations count="1">
    <dataValidation type="list" sqref="P5:P66" xr:uid="{00000000-0002-0000-0000-000000000000}">
      <formula1>"Pendiente de revisión humana,Verificado,Requiere corrección,No verificable"</formula1>
    </dataValidation>
  </dataValidations>
  <hyperlinks>
    <hyperlink ref="N89" r:id="rId1" xr:uid="{00000000-0004-0000-0000-000000000000}"/>
    <hyperlink ref="N90" r:id="rId2" xr:uid="{00000000-0004-0000-0000-000001000000}"/>
    <hyperlink ref="N91" r:id="rId3" xr:uid="{00000000-0004-0000-0000-000002000000}"/>
    <hyperlink ref="M91" r:id="rId4" xr:uid="{00000000-0004-0000-0000-000003000000}"/>
    <hyperlink ref="N92" r:id="rId5" xr:uid="{00000000-0004-0000-0000-000004000000}"/>
    <hyperlink ref="M92" r:id="rId6" xr:uid="{00000000-0004-0000-0000-000005000000}"/>
    <hyperlink ref="N93" r:id="rId7" xr:uid="{00000000-0004-0000-0000-000006000000}"/>
    <hyperlink ref="M93" r:id="rId8" xr:uid="{00000000-0004-0000-0000-000007000000}"/>
    <hyperlink ref="N94" r:id="rId9" xr:uid="{00000000-0004-0000-0000-000008000000}"/>
    <hyperlink ref="M94" r:id="rId10" xr:uid="{00000000-0004-0000-0000-000009000000}"/>
    <hyperlink ref="N95" r:id="rId11" xr:uid="{00000000-0004-0000-0000-00000A000000}"/>
    <hyperlink ref="M95" r:id="rId12" xr:uid="{00000000-0004-0000-0000-00000B000000}"/>
    <hyperlink ref="N96" r:id="rId13" xr:uid="{00000000-0004-0000-0000-00000C000000}"/>
    <hyperlink ref="M96" r:id="rId14" xr:uid="{00000000-0004-0000-0000-00000D000000}"/>
    <hyperlink ref="N97" r:id="rId15" xr:uid="{00000000-0004-0000-0000-00000E000000}"/>
    <hyperlink ref="M97" r:id="rId16" xr:uid="{00000000-0004-0000-0000-00000F000000}"/>
    <hyperlink ref="N98" r:id="rId17" xr:uid="{00000000-0004-0000-0000-000010000000}"/>
    <hyperlink ref="M98" r:id="rId18" xr:uid="{00000000-0004-0000-0000-000011000000}"/>
    <hyperlink ref="N99" r:id="rId19" xr:uid="{00000000-0004-0000-0000-000012000000}"/>
    <hyperlink ref="M99" r:id="rId20" xr:uid="{00000000-0004-0000-0000-000013000000}"/>
    <hyperlink ref="N100" r:id="rId21" xr:uid="{00000000-0004-0000-0000-000014000000}"/>
    <hyperlink ref="M100" r:id="rId22" xr:uid="{00000000-0004-0000-0000-000015000000}"/>
    <hyperlink ref="N101" r:id="rId23" xr:uid="{00000000-0004-0000-0000-000016000000}"/>
    <hyperlink ref="M101" r:id="rId24" xr:uid="{00000000-0004-0000-0000-000017000000}"/>
    <hyperlink ref="N102" r:id="rId25" xr:uid="{00000000-0004-0000-0000-000018000000}"/>
    <hyperlink ref="M102" r:id="rId26" xr:uid="{00000000-0004-0000-0000-000019000000}"/>
    <hyperlink ref="N103" r:id="rId27" xr:uid="{00000000-0004-0000-0000-00001A000000}"/>
    <hyperlink ref="N104" r:id="rId28" xr:uid="{00000000-0004-0000-0000-00001B000000}"/>
    <hyperlink ref="N105" r:id="rId29" xr:uid="{00000000-0004-0000-0000-00001C000000}"/>
    <hyperlink ref="N106" r:id="rId30" xr:uid="{00000000-0004-0000-0000-00001D000000}"/>
    <hyperlink ref="N107" r:id="rId31" xr:uid="{00000000-0004-0000-0000-00001E000000}"/>
    <hyperlink ref="M107" r:id="rId32" xr:uid="{00000000-0004-0000-0000-00001F000000}"/>
    <hyperlink ref="N108" r:id="rId33" xr:uid="{00000000-0004-0000-0000-000020000000}"/>
    <hyperlink ref="M108" r:id="rId34" xr:uid="{00000000-0004-0000-0000-000021000000}"/>
    <hyperlink ref="AL5" location="'Auditoría web'!A68" display="EST: Auditoría fila 68" xr:uid="{00000000-0004-0000-0000-000022000000}"/>
    <hyperlink ref="AL6" location="'Auditoría web'!A69" display="VEG: Auditoría fila 69; Auditoría fila 70; Auditoría fila 71" xr:uid="{00000000-0004-0000-0000-000023000000}"/>
    <hyperlink ref="AL7" location="'Auditoría web'!A69" display="VEG: Auditoría fila 69; Auditoría fila 70; Auditoría fila 71" xr:uid="{00000000-0004-0000-0000-000024000000}"/>
    <hyperlink ref="AL8" location="'Auditoría web'!A89" display="REP: Auditoría fila 89; Auditoría fila 8 | FLO: Auditoría fila 89" xr:uid="{00000000-0004-0000-0000-000025000000}"/>
    <hyperlink ref="AL9" location="'Auditoría web'!A89" display="REP: Auditoría fila 89; Auditoría fila 8 | FLO: Auditoría fila 89" xr:uid="{00000000-0004-0000-0000-000026000000}"/>
    <hyperlink ref="AL10" location="'Auditoría web'!A90" display="FIL: Auditoría fila 90" xr:uid="{00000000-0004-0000-0000-000027000000}"/>
    <hyperlink ref="AL11" location="'Auditoría web'!A90" display="FIL: Auditoría fila 90" xr:uid="{00000000-0004-0000-0000-000028000000}"/>
    <hyperlink ref="AL12" location="'Auditoría web'!A90" display="FIL: Auditoría fila 90" xr:uid="{00000000-0004-0000-0000-000029000000}"/>
    <hyperlink ref="AL13" location="'Auditoría web'!A90" display="FIL: Auditoría fila 90" xr:uid="{00000000-0004-0000-0000-00002A000000}"/>
    <hyperlink ref="AL14" location="'Auditoría web'!A107" display="MAT: Auditoría fila 107; Auditoría fila 14" xr:uid="{00000000-0004-0000-0000-00002B000000}"/>
    <hyperlink ref="AL15" location="'Auditoría web'!A91" display="EST: Auditoría fila 91" xr:uid="{00000000-0004-0000-0000-00002C000000}"/>
    <hyperlink ref="AL16" location="'Auditoría web'!A93" display="VEG: Auditoría fila 93; Auditoría fila 75" xr:uid="{00000000-0004-0000-0000-00002D000000}"/>
    <hyperlink ref="AL17" location="'Auditoría web'!A93" display="VEG: Auditoría fila 93; Auditoría fila 75" xr:uid="{00000000-0004-0000-0000-00002E000000}"/>
    <hyperlink ref="AL18" location="'Auditoría web'!A93" display="VEG: Auditoría fila 93; Auditoría fila 75 | REP: Auditoría fila 93; Auditoría fila 21; Auditoría fila 22" xr:uid="{00000000-0004-0000-0000-00002F000000}"/>
    <hyperlink ref="AL19" location="'Auditoría web'!A93" display="VEG: Auditoría fila 93; Auditoría fila 75 | REP: Auditoría fila 93; Auditoría fila 21; Auditoría fila 22" xr:uid="{00000000-0004-0000-0000-000030000000}"/>
    <hyperlink ref="AL20" location="'Auditoría web'!A93" display="REP: Auditoría fila 93; Auditoría fila 21; Auditoría fila 22" xr:uid="{00000000-0004-0000-0000-000031000000}"/>
    <hyperlink ref="AL21" location="'Auditoría web'!A93" display="REP: Auditoría fila 93; Auditoría fila 21; Auditoría fila 22" xr:uid="{00000000-0004-0000-0000-000032000000}"/>
    <hyperlink ref="AL22" location="'Auditoría web'!A93" display="REP: Auditoría fila 93; Auditoría fila 21; Auditoría fila 22" xr:uid="{00000000-0004-0000-0000-000033000000}"/>
    <hyperlink ref="AL23" location="'Auditoría web'!A93" display="REP: Auditoría fila 93; Auditoría fila 21; Auditoría fila 22" xr:uid="{00000000-0004-0000-0000-000034000000}"/>
    <hyperlink ref="AL24" location="'Auditoría web'!A94" display="FLO: Auditoría fila 94; Auditoría fila 24; Auditoría fila 25" xr:uid="{00000000-0004-0000-0000-000035000000}"/>
    <hyperlink ref="AL25" location="'Auditoría web'!A94" display="FLO: Auditoría fila 94; Auditoría fila 24; Auditoría fila 25" xr:uid="{00000000-0004-0000-0000-000036000000}"/>
    <hyperlink ref="AL26" location="'Auditoría web'!A94" display="FLO: Auditoría fila 94; Auditoría fila 24; Auditoría fila 25" xr:uid="{00000000-0004-0000-0000-000037000000}"/>
    <hyperlink ref="AL27" location="'Auditoría web'!A94" display="FLO: Auditoría fila 94; Auditoría fila 24; Auditoría fila 25" xr:uid="{00000000-0004-0000-0000-000038000000}"/>
    <hyperlink ref="AL28" location="'Auditoría web'!A94" display="FLO: Auditoría fila 94; Auditoría fila 24; Auditoría fila 25" xr:uid="{00000000-0004-0000-0000-000039000000}"/>
    <hyperlink ref="AL29" location="'Auditoría web'!A94" display="FLO: Auditoría fila 94; Auditoría fila 24; Auditoría fila 25" xr:uid="{00000000-0004-0000-0000-00003A000000}"/>
    <hyperlink ref="AL30" location="'Auditoría web'!A95" display="FIL: Auditoría fila 95; Auditoría fila 30; Auditoría fila 31" xr:uid="{00000000-0004-0000-0000-00003B000000}"/>
    <hyperlink ref="AL31" location="'Auditoría web'!A95" display="FIL: Auditoría fila 95; Auditoría fila 30; Auditoría fila 31" xr:uid="{00000000-0004-0000-0000-00003C000000}"/>
    <hyperlink ref="AL32" location="'Auditoría web'!A92" display="MAT: Auditoría fila 92; Auditoría fila 32" xr:uid="{00000000-0004-0000-0000-00003D000000}"/>
    <hyperlink ref="AL33" location="'Auditoría web'!A76" display="EST: Auditoría fila 76; Auditoría fila 34" xr:uid="{00000000-0004-0000-0000-00003E000000}"/>
    <hyperlink ref="AL34" location="'Auditoría web'!A76" display="EST: Auditoría fila 76; Auditoría fila 34" xr:uid="{00000000-0004-0000-0000-00003F000000}"/>
    <hyperlink ref="AL35" location="'Auditoría web'!A76" display="EST: Auditoría fila 76; Auditoría fila 34" xr:uid="{00000000-0004-0000-0000-000040000000}"/>
    <hyperlink ref="AL36" location="'Auditoría web'!A103" display="VEG: Auditoría fila 103; Auditoría fila 87" xr:uid="{00000000-0004-0000-0000-000041000000}"/>
    <hyperlink ref="AL37" location="'Auditoría web'!A103" display="VEG: Auditoría fila 103; Auditoría fila 87" xr:uid="{00000000-0004-0000-0000-000042000000}"/>
    <hyperlink ref="AL38" location="'Auditoría web'!A79" display="FLO: Auditoría fila 79; Auditoría fila 80; Auditoría fila 104" xr:uid="{00000000-0004-0000-0000-000043000000}"/>
    <hyperlink ref="AL39" location="'Auditoría web'!A79" display="FLO: Auditoría fila 79; Auditoría fila 80; Auditoría fila 104" xr:uid="{00000000-0004-0000-0000-000044000000}"/>
    <hyperlink ref="AL40" location="'Auditoría web'!A79" display="FLO: Auditoría fila 79; Auditoría fila 80; Auditoría fila 104" xr:uid="{00000000-0004-0000-0000-000045000000}"/>
    <hyperlink ref="AL41" location="'Auditoría web'!A79" display="FLO: Auditoría fila 79; Auditoría fila 80; Auditoría fila 104" xr:uid="{00000000-0004-0000-0000-000046000000}"/>
    <hyperlink ref="AL42" location="'Auditoría web'!A105" display="REP: Auditoría fila 105; Auditoría fila 78" xr:uid="{00000000-0004-0000-0000-000047000000}"/>
    <hyperlink ref="AL43" location="'Auditoría web'!A105" display="REP: Auditoría fila 105; Auditoría fila 78" xr:uid="{00000000-0004-0000-0000-000048000000}"/>
    <hyperlink ref="AL44" location="'Auditoría web'!A105" display="REP: Auditoría fila 105; Auditoría fila 78" xr:uid="{00000000-0004-0000-0000-000049000000}"/>
    <hyperlink ref="AL45" location="'Auditoría web'!A105" display="REP: Auditoría fila 105; Auditoría fila 78" xr:uid="{00000000-0004-0000-0000-00004A000000}"/>
    <hyperlink ref="AL46" location="'Auditoría web'!A105" display="REP: Auditoría fila 105; Auditoría fila 78" xr:uid="{00000000-0004-0000-0000-00004B000000}"/>
    <hyperlink ref="AL47" location="'Auditoría web'!A105" display="REP: Auditoría fila 105; Auditoría fila 78" xr:uid="{00000000-0004-0000-0000-00004C000000}"/>
    <hyperlink ref="AL48" location="'Auditoría web'!A81" display="FIL: Auditoría fila 81; Auditoría fila 49; Auditoría fila 106" xr:uid="{00000000-0004-0000-0000-00004D000000}"/>
    <hyperlink ref="AL49" location="'Auditoría web'!A81" display="FIL: Auditoría fila 81; Auditoría fila 49; Auditoría fila 106" xr:uid="{00000000-0004-0000-0000-00004E000000}"/>
    <hyperlink ref="AL50" location="'Auditoría web'!A81" display="FIL: Auditoría fila 81; Auditoría fila 49; Auditoría fila 106" xr:uid="{00000000-0004-0000-0000-00004F000000}"/>
    <hyperlink ref="AL51" location="'Auditoría web'!A81" display="FIL: Auditoría fila 81; Auditoría fila 49; Auditoría fila 106 | MAT: Auditoría fila 81" xr:uid="{00000000-0004-0000-0000-000050000000}"/>
    <hyperlink ref="AL52" location="'Auditoría web'!A81" display="FIL: Auditoría fila 81; Auditoría fila 49; Auditoría fila 106 | MAT: Auditoría fila 81" xr:uid="{00000000-0004-0000-0000-000051000000}"/>
    <hyperlink ref="AL53" location="'Auditoría web'!A81" display="MAT: Auditoría fila 81" xr:uid="{00000000-0004-0000-0000-000052000000}"/>
    <hyperlink ref="AL54" location="'Auditoría web'!A82" display="EST: Auditoría fila 82; Auditoría fila 83; Auditoría fila 54" xr:uid="{00000000-0004-0000-0000-000053000000}"/>
    <hyperlink ref="AL55" location="'Auditoría web'!A96" display="VEG: Auditoría fila 96; Auditoría fila 97" xr:uid="{00000000-0004-0000-0000-000054000000}"/>
    <hyperlink ref="AL56" location="'Auditoría web'!A96" display="VEG: Auditoría fila 96; Auditoría fila 97" xr:uid="{00000000-0004-0000-0000-000055000000}"/>
    <hyperlink ref="AL57" location="'Auditoría web'!A98" display="REP: Auditoría fila 98; Auditoría fila 99" xr:uid="{00000000-0004-0000-0000-000056000000}"/>
    <hyperlink ref="AL58" location="'Auditoría web'!A98" display="REP: Auditoría fila 98; Auditoría fila 99" xr:uid="{00000000-0004-0000-0000-000057000000}"/>
    <hyperlink ref="AL59" location="'Auditoría web'!A98" display="REP: Auditoría fila 98; Auditoría fila 99" xr:uid="{00000000-0004-0000-0000-000058000000}"/>
    <hyperlink ref="AL60" location="'Auditoría web'!A100" display="FLO: Auditoría fila 100" xr:uid="{00000000-0004-0000-0000-000059000000}"/>
    <hyperlink ref="AL61" location="'Auditoría web'!A100" display="FLO: Auditoría fila 100" xr:uid="{00000000-0004-0000-0000-00005A000000}"/>
    <hyperlink ref="AL62" location="'Auditoría web'!A100" display="FLO: Auditoría fila 100" xr:uid="{00000000-0004-0000-0000-00005B000000}"/>
    <hyperlink ref="AL63" location="'Auditoría web'!A100" display="FLO: Auditoría fila 100" xr:uid="{00000000-0004-0000-0000-00005C000000}"/>
    <hyperlink ref="AL64" location="'Auditoría web'!A101" display="FIL: Auditoría fila 101; Auditoría fila 102" xr:uid="{00000000-0004-0000-0000-00005D000000}"/>
    <hyperlink ref="AL65" location="'Auditoría web'!A101" display="FIL: Auditoría fila 101; Auditoría fila 102" xr:uid="{00000000-0004-0000-0000-00005E000000}"/>
    <hyperlink ref="AL66" location="'Auditoría web'!A108" display="MAT: Auditoría fila 108; Auditoría fila 66" xr:uid="{00000000-0004-0000-0000-00005F000000}"/>
    <hyperlink ref="AL67" location="'Auditoría web'!A89" display="REP: Auditoría fila 89; Auditoría fila 8" xr:uid="{00000000-0004-0000-0000-000060000000}"/>
    <hyperlink ref="AL68" location="'Auditoría web'!A68" display="EST: Auditoría fila 68" xr:uid="{00000000-0004-0000-0000-000061000000}"/>
    <hyperlink ref="AL69" location="'Auditoría web'!A68" display="EST: Auditoría fila 68 | VEG: Auditoría fila 69; Auditoría fila 70; Auditoría fila 71" xr:uid="{00000000-0004-0000-0000-000062000000}"/>
    <hyperlink ref="AL70" location="'Auditoría web'!A69" display="VEG: Auditoría fila 69; Auditoría fila 70; Auditoría fila 71" xr:uid="{00000000-0004-0000-0000-000063000000}"/>
    <hyperlink ref="AL71" location="'Auditoría web'!A69" display="VEG: Auditoría fila 69; Auditoría fila 70; Auditoría fila 71 | FLO: Auditoría fila 89" xr:uid="{00000000-0004-0000-0000-000064000000}"/>
    <hyperlink ref="AL72" location="'Auditoría web'!A68" display="EST: Auditoría fila 68 | VEG: Auditoría fila 69; Auditoría fila 70; Auditoría fila 71 | REP: Auditoría fila 89; Auditoría fila 8 | FLO: Auditoría fila 89 | FIL: Auditoría fila 90" xr:uid="{00000000-0004-0000-0000-000065000000}"/>
    <hyperlink ref="AL73" location="'Auditoría web'!A68" display="EST: Auditoría fila 68 | VEG: Auditoría fila 69; Auditoría fila 70; Auditoría fila 71 | REP: Auditoría fila 89; Auditoría fila 8 | FLO: Auditoría fila 89 | FIL: Auditoría fila 90" xr:uid="{00000000-0004-0000-0000-000066000000}"/>
    <hyperlink ref="AL74" location="'Auditoría web'!A68" display="EST: Auditoría fila 68 | VEG: Auditoría fila 69; Auditoría fila 70; Auditoría fila 71 | REP: Auditoría fila 89; Auditoría fila 8 | FLO: Auditoría fila 89 | FIL: Auditoría fila 90" xr:uid="{00000000-0004-0000-0000-000067000000}"/>
    <hyperlink ref="AL75" location="'Auditoría web'!A93" display="VEG: Auditoría fila 93; Auditoría fila 75" xr:uid="{00000000-0004-0000-0000-000068000000}"/>
    <hyperlink ref="AL76" location="'Auditoría web'!A76" display="EST: Auditoría fila 76; Auditoría fila 34" xr:uid="{00000000-0004-0000-0000-000069000000}"/>
    <hyperlink ref="AL77" location="'Auditoría web'!A103" display="VEG: Auditoría fila 103; Auditoría fila 87" xr:uid="{00000000-0004-0000-0000-00006A000000}"/>
    <hyperlink ref="AL78" location="'Auditoría web'!A105" display="REP: Auditoría fila 105; Auditoría fila 78" xr:uid="{00000000-0004-0000-0000-00006B000000}"/>
    <hyperlink ref="AL79" location="'Auditoría web'!A79" display="FLO: Auditoría fila 79; Auditoría fila 80; Auditoría fila 104" xr:uid="{00000000-0004-0000-0000-00006C000000}"/>
    <hyperlink ref="AL80" location="'Auditoría web'!A79" display="FLO: Auditoría fila 79; Auditoría fila 80; Auditoría fila 104" xr:uid="{00000000-0004-0000-0000-00006D000000}"/>
    <hyperlink ref="AL81" location="'Auditoría web'!A81" display="FIL: Auditoría fila 81; Auditoría fila 49; Auditoría fila 106 | MAT: Auditoría fila 81" xr:uid="{00000000-0004-0000-0000-00006E000000}"/>
    <hyperlink ref="AL82" location="'Auditoría web'!A82" display="EST: Auditoría fila 82; Auditoría fila 83; Auditoría fila 54" xr:uid="{00000000-0004-0000-0000-00006F000000}"/>
    <hyperlink ref="AL83" location="'Auditoría web'!A82" display="EST: Auditoría fila 82; Auditoría fila 83; Auditoría fila 54" xr:uid="{00000000-0004-0000-0000-000070000000}"/>
    <hyperlink ref="AL84" location="'Auditoría web'!A96" display="VEG: Auditoría fila 96; Auditoría fila 97 | REP: Auditoría fila 98; Auditoría fila 99" xr:uid="{00000000-0004-0000-0000-000071000000}"/>
    <hyperlink ref="AL85" location="'Auditoría web'!A96" display="VEG: Auditoría fila 96; Auditoría fila 97 | REP: Auditoría fila 98; Auditoría fila 99" xr:uid="{00000000-0004-0000-0000-000072000000}"/>
    <hyperlink ref="AL86" location="'Auditoría web'!A79" display="FLO: Auditoría fila 79; Auditoría fila 80; Auditoría fila 104" xr:uid="{00000000-0004-0000-0000-000073000000}"/>
    <hyperlink ref="AL87" location="'Auditoría web'!A103" display="VEG: Auditoría fila 103; Auditoría fila 87" xr:uid="{00000000-0004-0000-0000-000074000000}"/>
    <hyperlink ref="AL88" location="'Auditoría web'!A89" display="FLO: Auditoría fila 89" xr:uid="{00000000-0004-0000-0000-000075000000}"/>
    <hyperlink ref="AL89" location="'Auditoría web'!A89" display="REP: Auditoría fila 89; Auditoría fila 8 | FLO: Auditoría fila 89 | FIL: Auditoría fila 90" xr:uid="{00000000-0004-0000-0000-000076000000}"/>
    <hyperlink ref="AL90" location="'Auditoría web'!A90" display="FIL: Auditoría fila 90" xr:uid="{00000000-0004-0000-0000-000077000000}"/>
    <hyperlink ref="AL91" location="'Auditoría web'!A91" display="EST: Auditoría fila 91" xr:uid="{00000000-0004-0000-0000-000078000000}"/>
    <hyperlink ref="AL92" location="'Auditoría web'!A95" display="FIL: Auditoría fila 95; Auditoría fila 30; Auditoría fila 31 | MAT: Auditoría fila 92; Auditoría fila 32" xr:uid="{00000000-0004-0000-0000-000079000000}"/>
    <hyperlink ref="AL93" location="'Auditoría web'!A93" display="VEG: Auditoría fila 93; Auditoría fila 75 | REP: Auditoría fila 93; Auditoría fila 21; Auditoría fila 22" xr:uid="{00000000-0004-0000-0000-00007A000000}"/>
    <hyperlink ref="AL94" location="'Auditoría web'!A94" display="FLO: Auditoría fila 94; Auditoría fila 24; Auditoría fila 25" xr:uid="{00000000-0004-0000-0000-00007B000000}"/>
    <hyperlink ref="AL95" location="'Auditoría web'!A95" display="FIL: Auditoría fila 95; Auditoría fila 30; Auditoría fila 31" xr:uid="{00000000-0004-0000-0000-00007C000000}"/>
    <hyperlink ref="AL96" location="'Auditoría web'!A96" display="VEG: Auditoría fila 96; Auditoría fila 97" xr:uid="{00000000-0004-0000-0000-00007D000000}"/>
    <hyperlink ref="AL97" location="'Auditoría web'!A96" display="VEG: Auditoría fila 96; Auditoría fila 97" xr:uid="{00000000-0004-0000-0000-00007E000000}"/>
    <hyperlink ref="AL98" location="'Auditoría web'!A98" display="REP: Auditoría fila 98; Auditoría fila 99" xr:uid="{00000000-0004-0000-0000-00007F000000}"/>
    <hyperlink ref="AL99" location="'Auditoría web'!A98" display="REP: Auditoría fila 98; Auditoría fila 99" xr:uid="{00000000-0004-0000-0000-000080000000}"/>
    <hyperlink ref="AL100" location="'Auditoría web'!A100" display="FLO: Auditoría fila 100" xr:uid="{00000000-0004-0000-0000-000081000000}"/>
    <hyperlink ref="AL101" location="'Auditoría web'!A101" display="FIL: Auditoría fila 101; Auditoría fila 102" xr:uid="{00000000-0004-0000-0000-000082000000}"/>
    <hyperlink ref="AL102" location="'Auditoría web'!A101" display="FIL: Auditoría fila 101; Auditoría fila 102" xr:uid="{00000000-0004-0000-0000-000083000000}"/>
    <hyperlink ref="AL103" location="'Auditoría web'!A103" display="VEG: Auditoría fila 103; Auditoría fila 87" xr:uid="{00000000-0004-0000-0000-000084000000}"/>
    <hyperlink ref="AL104" location="'Auditoría web'!A79" display="FLO: Auditoría fila 79; Auditoría fila 80; Auditoría fila 104" xr:uid="{00000000-0004-0000-0000-000085000000}"/>
    <hyperlink ref="AL105" location="'Auditoría web'!A105" display="REP: Auditoría fila 105; Auditoría fila 78" xr:uid="{00000000-0004-0000-0000-000086000000}"/>
    <hyperlink ref="AL106" location="'Auditoría web'!A81" display="FIL: Auditoría fila 81; Auditoría fila 49; Auditoría fila 106" xr:uid="{00000000-0004-0000-0000-000087000000}"/>
    <hyperlink ref="AL107" location="'Auditoría web'!A107" display="MAT: Auditoría fila 107; Auditoría fila 14" xr:uid="{00000000-0004-0000-0000-000088000000}"/>
    <hyperlink ref="AL108" location="'Auditoría web'!A108" display="MAT: Auditoría fila 108; Auditoría fila 66" xr:uid="{00000000-0004-0000-0000-000089000000}"/>
    <hyperlink ref="M109" r:id="rId36"/>
    <hyperlink ref="N109" r:id="rId37"/>
    <hyperlink ref="AL109" location="'Tabla maestra'!A13"/>
    <hyperlink ref="M110" r:id="rId38"/>
    <hyperlink ref="N110" r:id="rId39"/>
    <hyperlink ref="AL110" location="'Tabla maestra'!A20"/>
    <hyperlink ref="M111" r:id="rId40"/>
    <hyperlink ref="N111" r:id="rId41"/>
    <hyperlink ref="AL111" location="'Tabla maestra'!A21"/>
    <hyperlink ref="M112" r:id="rId42"/>
    <hyperlink ref="N112" r:id="rId43"/>
    <hyperlink ref="AL112" location="'Tabla maestra'!A22"/>
    <hyperlink ref="M113" r:id="rId44"/>
    <hyperlink ref="N113" r:id="rId45"/>
    <hyperlink ref="AL113" location="'Tabla maestra'!A23"/>
    <hyperlink ref="M114" r:id="rId46"/>
    <hyperlink ref="N114" r:id="rId47"/>
    <hyperlink ref="AL114" location="'Tabla maestra'!A26"/>
    <hyperlink ref="M115" r:id="rId48"/>
    <hyperlink ref="N115" r:id="rId49"/>
    <hyperlink ref="AL115" location="'Tabla maestra'!A31"/>
  </hyperlinks>
  <pageMargins left="0.7" right="0.7" top="0.75" bottom="0.75"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7E0A-104D-489B-8C2B-F924833657D7}">
  <dimension ref="A1:K133"/>
  <sheetViews>
    <sheetView showGridLines="0" topLeftCell="A103" zoomScale="41" workbookViewId="0">
      <selection activeCell="D16" sqref="D16"/>
    </sheetView>
  </sheetViews>
  <sheetFormatPr baseColWidth="10" defaultColWidth="8.6640625" defaultRowHeight="14"/>
  <cols>
    <col min="1" max="1" width="22" customWidth="1"/>
    <col min="2" max="2" width="32" customWidth="1"/>
    <col min="3" max="4" width="55" customWidth="1"/>
    <col min="5" max="5" width="65" customWidth="1"/>
    <col min="6" max="6" width="50" customWidth="1"/>
    <col min="7" max="7" width="70" customWidth="1"/>
    <col min="8" max="8" width="30" customWidth="1"/>
    <col min="9" max="9" width="24" customWidth="1"/>
    <col min="10" max="10" width="95" customWidth="1"/>
    <col min="11" max="11" width="25" customWidth="1"/>
  </cols>
  <sheetData>
    <row r="1" spans="1:11" ht="76">
      <c r="A1" s="25" t="s">
        <v>1031</v>
      </c>
      <c r="B1" s="24"/>
      <c r="C1" s="24"/>
      <c r="D1" s="24"/>
      <c r="E1" s="24"/>
      <c r="F1" s="24"/>
      <c r="G1" s="24"/>
      <c r="H1" s="24"/>
      <c r="I1" s="24"/>
      <c r="J1" s="24"/>
      <c r="K1" s="24"/>
    </row>
    <row r="2" spans="1:11">
      <c r="A2" s="26" t="s">
        <v>1032</v>
      </c>
      <c r="B2" s="26"/>
      <c r="C2" s="26"/>
      <c r="D2" s="26"/>
      <c r="E2" s="26"/>
      <c r="F2" s="26"/>
      <c r="G2" s="26"/>
      <c r="H2" s="26"/>
      <c r="I2" s="26"/>
      <c r="J2" s="26"/>
      <c r="K2" s="26"/>
    </row>
    <row r="3" spans="1:11">
      <c r="A3" s="24"/>
      <c r="B3" s="24"/>
      <c r="C3" s="24"/>
      <c r="D3" s="24"/>
      <c r="E3" s="24"/>
      <c r="F3" s="24"/>
      <c r="G3" s="24"/>
      <c r="H3" s="24"/>
      <c r="I3" s="24"/>
      <c r="J3" s="24"/>
      <c r="K3" s="24"/>
    </row>
    <row r="4" spans="1:11">
      <c r="A4" s="27" t="s">
        <v>462</v>
      </c>
      <c r="B4" s="27" t="s">
        <v>463</v>
      </c>
      <c r="C4" s="27" t="s">
        <v>464</v>
      </c>
      <c r="D4" s="24"/>
      <c r="E4" s="24"/>
      <c r="F4" s="24"/>
      <c r="G4" s="24"/>
      <c r="H4" s="24"/>
      <c r="I4" s="24"/>
      <c r="J4" s="24"/>
      <c r="K4" s="24"/>
    </row>
    <row r="5" spans="1:11" ht="28">
      <c r="A5" s="24" t="s">
        <v>465</v>
      </c>
      <c r="B5" s="24" t="s">
        <v>466</v>
      </c>
      <c r="C5" s="24" t="s">
        <v>467</v>
      </c>
      <c r="D5" s="24"/>
      <c r="E5" s="24"/>
      <c r="F5" s="24"/>
      <c r="G5" s="24"/>
      <c r="H5" s="24"/>
      <c r="I5" s="24"/>
      <c r="J5" s="24"/>
      <c r="K5" s="24"/>
    </row>
    <row r="6" spans="1:11" ht="28">
      <c r="A6" s="24" t="s">
        <v>468</v>
      </c>
      <c r="B6" s="24" t="s">
        <v>469</v>
      </c>
      <c r="C6" s="24" t="s">
        <v>470</v>
      </c>
      <c r="D6" s="24"/>
      <c r="E6" s="24"/>
      <c r="F6" s="24"/>
      <c r="G6" s="24"/>
      <c r="H6" s="24"/>
      <c r="I6" s="24"/>
      <c r="J6" s="24"/>
      <c r="K6" s="24"/>
    </row>
    <row r="7" spans="1:11">
      <c r="A7" s="24" t="s">
        <v>471</v>
      </c>
      <c r="B7" s="24" t="s">
        <v>302</v>
      </c>
      <c r="C7" s="24" t="s">
        <v>472</v>
      </c>
      <c r="D7" s="24"/>
      <c r="E7" s="24"/>
      <c r="F7" s="24"/>
      <c r="G7" s="24"/>
      <c r="H7" s="24"/>
      <c r="I7" s="24"/>
      <c r="J7" s="24"/>
      <c r="K7" s="24"/>
    </row>
    <row r="8" spans="1:11" ht="28">
      <c r="A8" s="24" t="s">
        <v>473</v>
      </c>
      <c r="B8" s="24" t="s">
        <v>474</v>
      </c>
      <c r="C8" s="24" t="s">
        <v>475</v>
      </c>
      <c r="D8" s="24"/>
      <c r="E8" s="24"/>
      <c r="F8" s="24"/>
      <c r="G8" s="24"/>
      <c r="H8" s="24"/>
      <c r="I8" s="24"/>
      <c r="J8" s="24"/>
      <c r="K8" s="24"/>
    </row>
    <row r="9" spans="1:11">
      <c r="A9" s="24" t="s">
        <v>476</v>
      </c>
      <c r="B9" s="24" t="s">
        <v>477</v>
      </c>
      <c r="C9" s="24" t="s">
        <v>478</v>
      </c>
      <c r="D9" s="24"/>
      <c r="E9" s="24"/>
      <c r="F9" s="24"/>
      <c r="G9" s="24"/>
      <c r="H9" s="24"/>
      <c r="I9" s="24"/>
      <c r="J9" s="24"/>
      <c r="K9" s="24"/>
    </row>
    <row r="10" spans="1:11">
      <c r="A10" s="24" t="s">
        <v>479</v>
      </c>
      <c r="B10" s="24" t="s">
        <v>480</v>
      </c>
      <c r="C10" s="24" t="s">
        <v>481</v>
      </c>
      <c r="D10" s="24"/>
      <c r="E10" s="24"/>
      <c r="F10" s="24"/>
      <c r="G10" s="24"/>
      <c r="H10" s="24"/>
      <c r="I10" s="24"/>
      <c r="J10" s="24"/>
      <c r="K10" s="24"/>
    </row>
    <row r="11" spans="1:11">
      <c r="A11" s="24"/>
      <c r="B11" s="24"/>
      <c r="C11" s="24"/>
      <c r="D11" s="24"/>
      <c r="E11" s="24"/>
      <c r="F11" s="24"/>
      <c r="G11" s="24"/>
      <c r="H11" s="24"/>
      <c r="I11" s="24"/>
      <c r="J11" s="24"/>
      <c r="K11" s="24"/>
    </row>
    <row r="12" spans="1:11">
      <c r="A12" s="24"/>
      <c r="B12" s="24"/>
      <c r="C12" s="24"/>
      <c r="D12" s="24"/>
      <c r="E12" s="24"/>
      <c r="F12" s="24"/>
      <c r="G12" s="24"/>
      <c r="H12" s="24"/>
      <c r="I12" s="24"/>
      <c r="J12" s="24"/>
      <c r="K12" s="24"/>
    </row>
    <row r="13" spans="1:11">
      <c r="A13" s="27" t="s">
        <v>482</v>
      </c>
      <c r="B13" s="27" t="s">
        <v>483</v>
      </c>
      <c r="C13" s="27" t="s">
        <v>484</v>
      </c>
      <c r="D13" s="27" t="s">
        <v>485</v>
      </c>
      <c r="E13" s="27" t="s">
        <v>486</v>
      </c>
      <c r="F13" s="24"/>
      <c r="G13" s="24"/>
      <c r="H13" s="24"/>
      <c r="I13" s="24"/>
      <c r="J13" s="24"/>
      <c r="K13" s="24"/>
    </row>
    <row r="14" spans="1:11">
      <c r="A14" s="24" t="s">
        <v>34</v>
      </c>
      <c r="B14" s="24" t="s">
        <v>1033</v>
      </c>
      <c r="C14" s="24" t="s">
        <v>1034</v>
      </c>
      <c r="D14" s="24" t="s">
        <v>1035</v>
      </c>
      <c r="E14" s="24" t="s">
        <v>1036</v>
      </c>
      <c r="F14" s="24"/>
      <c r="G14" s="24"/>
      <c r="H14" s="24"/>
      <c r="I14" s="24"/>
      <c r="J14" s="24"/>
      <c r="K14" s="24"/>
    </row>
    <row r="15" spans="1:11" ht="56">
      <c r="A15" s="24" t="s">
        <v>48</v>
      </c>
      <c r="B15" s="24" t="s">
        <v>1037</v>
      </c>
      <c r="C15" s="24" t="s">
        <v>1038</v>
      </c>
      <c r="D15" s="24" t="s">
        <v>1039</v>
      </c>
      <c r="E15" s="24" t="s">
        <v>1040</v>
      </c>
      <c r="F15" s="24"/>
      <c r="G15" s="24"/>
      <c r="H15" s="24"/>
      <c r="I15" s="24"/>
      <c r="J15" s="24"/>
      <c r="K15" s="24"/>
    </row>
    <row r="16" spans="1:11" ht="28">
      <c r="A16" s="24" t="s">
        <v>187</v>
      </c>
      <c r="B16" s="24" t="s">
        <v>1041</v>
      </c>
      <c r="C16" s="24" t="s">
        <v>1042</v>
      </c>
      <c r="D16" s="24" t="s">
        <v>1043</v>
      </c>
      <c r="E16" s="24" t="s">
        <v>1044</v>
      </c>
      <c r="F16" s="24"/>
      <c r="G16" s="24"/>
      <c r="H16" s="24"/>
      <c r="I16" s="24"/>
      <c r="J16" s="24"/>
      <c r="K16" s="24"/>
    </row>
    <row r="17" spans="1:11" ht="28">
      <c r="A17" s="24" t="s">
        <v>208</v>
      </c>
      <c r="B17" s="24" t="s">
        <v>1045</v>
      </c>
      <c r="C17" s="24" t="s">
        <v>1046</v>
      </c>
      <c r="D17" s="24" t="s">
        <v>1047</v>
      </c>
      <c r="E17" s="24" t="s">
        <v>1048</v>
      </c>
      <c r="F17" s="24"/>
      <c r="G17" s="24"/>
      <c r="H17" s="24"/>
      <c r="I17" s="24"/>
      <c r="J17" s="24"/>
      <c r="K17" s="24"/>
    </row>
    <row r="18" spans="1:11" ht="28">
      <c r="A18" s="24" t="s">
        <v>96</v>
      </c>
      <c r="B18" s="24" t="s">
        <v>1049</v>
      </c>
      <c r="C18" s="24" t="s">
        <v>1050</v>
      </c>
      <c r="D18" s="24" t="s">
        <v>1051</v>
      </c>
      <c r="E18" s="24" t="s">
        <v>1052</v>
      </c>
      <c r="F18" s="24"/>
      <c r="G18" s="24"/>
      <c r="H18" s="24"/>
      <c r="I18" s="24"/>
      <c r="J18" s="24"/>
      <c r="K18" s="24"/>
    </row>
    <row r="19" spans="1:11" ht="28">
      <c r="A19" s="24" t="s">
        <v>136</v>
      </c>
      <c r="B19" s="24" t="s">
        <v>1053</v>
      </c>
      <c r="C19" s="24" t="s">
        <v>1054</v>
      </c>
      <c r="D19" s="24" t="s">
        <v>1055</v>
      </c>
      <c r="E19" s="24" t="s">
        <v>1056</v>
      </c>
      <c r="F19" s="24"/>
      <c r="G19" s="24"/>
      <c r="H19" s="24"/>
      <c r="I19" s="24"/>
      <c r="J19" s="24"/>
      <c r="K19" s="24"/>
    </row>
    <row r="20" spans="1:11">
      <c r="A20" s="24"/>
      <c r="B20" s="24"/>
      <c r="C20" s="24"/>
      <c r="D20" s="24"/>
      <c r="E20" s="24"/>
      <c r="F20" s="24"/>
      <c r="G20" s="24"/>
      <c r="H20" s="24"/>
      <c r="I20" s="24"/>
      <c r="J20" s="24"/>
      <c r="K20" s="24"/>
    </row>
    <row r="21" spans="1:11">
      <c r="A21" s="26" t="s">
        <v>1057</v>
      </c>
      <c r="B21" s="26"/>
      <c r="C21" s="26"/>
      <c r="D21" s="26"/>
      <c r="E21" s="26"/>
      <c r="F21" s="26"/>
      <c r="G21" s="26"/>
      <c r="H21" s="26"/>
      <c r="I21" s="26"/>
      <c r="J21" s="26"/>
      <c r="K21" s="26"/>
    </row>
    <row r="22" spans="1:11">
      <c r="A22" s="27" t="s">
        <v>943</v>
      </c>
      <c r="B22" s="27" t="s">
        <v>1</v>
      </c>
      <c r="C22" s="27" t="s">
        <v>1058</v>
      </c>
      <c r="D22" s="27" t="s">
        <v>1059</v>
      </c>
      <c r="E22" s="27" t="s">
        <v>1060</v>
      </c>
      <c r="F22" s="27" t="s">
        <v>1061</v>
      </c>
      <c r="G22" s="27" t="s">
        <v>1062</v>
      </c>
      <c r="H22" s="27" t="s">
        <v>9</v>
      </c>
      <c r="I22" s="27" t="s">
        <v>1063</v>
      </c>
      <c r="J22" s="27" t="s">
        <v>1064</v>
      </c>
      <c r="K22" s="27" t="s">
        <v>944</v>
      </c>
    </row>
    <row r="23" spans="1:11">
      <c r="A23" s="24" t="s">
        <v>945</v>
      </c>
      <c r="B23" s="24" t="s">
        <v>483</v>
      </c>
      <c r="C23" s="24" t="s">
        <v>465</v>
      </c>
      <c r="D23" s="24" t="s">
        <v>746</v>
      </c>
      <c r="E23" s="24" t="s">
        <v>746</v>
      </c>
      <c r="F23" s="24" t="s">
        <v>465</v>
      </c>
      <c r="G23" s="24" t="s">
        <v>1065</v>
      </c>
      <c r="H23" s="24" t="s">
        <v>750</v>
      </c>
      <c r="I23" s="24" t="s">
        <v>946</v>
      </c>
      <c r="J23" s="24" t="s">
        <v>749</v>
      </c>
      <c r="K23" s="24" t="s">
        <v>1066</v>
      </c>
    </row>
    <row r="24" spans="1:11">
      <c r="A24" s="24" t="s">
        <v>947</v>
      </c>
      <c r="B24" s="24" t="s">
        <v>483</v>
      </c>
      <c r="C24" s="24" t="s">
        <v>763</v>
      </c>
      <c r="D24" s="24" t="s">
        <v>764</v>
      </c>
      <c r="E24" s="24" t="s">
        <v>764</v>
      </c>
      <c r="F24" s="24" t="s">
        <v>468</v>
      </c>
      <c r="G24" s="24" t="s">
        <v>1065</v>
      </c>
      <c r="H24" s="24" t="s">
        <v>750</v>
      </c>
      <c r="I24" s="24" t="s">
        <v>946</v>
      </c>
      <c r="J24" s="24" t="s">
        <v>749</v>
      </c>
      <c r="K24" s="24" t="s">
        <v>1066</v>
      </c>
    </row>
    <row r="25" spans="1:11" ht="28">
      <c r="A25" s="24" t="s">
        <v>948</v>
      </c>
      <c r="B25" s="24" t="s">
        <v>483</v>
      </c>
      <c r="C25" s="24" t="s">
        <v>774</v>
      </c>
      <c r="D25" s="24" t="s">
        <v>775</v>
      </c>
      <c r="E25" s="24" t="s">
        <v>775</v>
      </c>
      <c r="F25" s="24" t="s">
        <v>1576</v>
      </c>
      <c r="G25" s="24" t="s">
        <v>1065</v>
      </c>
      <c r="H25" s="24" t="s">
        <v>780</v>
      </c>
      <c r="I25" s="24" t="s">
        <v>946</v>
      </c>
      <c r="J25" s="24" t="s">
        <v>779</v>
      </c>
      <c r="K25" s="24" t="s">
        <v>1066</v>
      </c>
    </row>
    <row r="26" spans="1:11" ht="28">
      <c r="A26" s="24" t="s">
        <v>949</v>
      </c>
      <c r="B26" s="24" t="s">
        <v>483</v>
      </c>
      <c r="C26" s="24" t="s">
        <v>774</v>
      </c>
      <c r="D26" s="24" t="s">
        <v>775</v>
      </c>
      <c r="E26" s="24" t="s">
        <v>775</v>
      </c>
      <c r="F26" s="24" t="s">
        <v>1576</v>
      </c>
      <c r="G26" s="24" t="s">
        <v>1065</v>
      </c>
      <c r="H26" s="24" t="s">
        <v>780</v>
      </c>
      <c r="I26" s="24" t="s">
        <v>946</v>
      </c>
      <c r="J26" s="24" t="s">
        <v>779</v>
      </c>
      <c r="K26" s="24" t="s">
        <v>1066</v>
      </c>
    </row>
    <row r="27" spans="1:11" ht="28">
      <c r="A27" s="24" t="s">
        <v>950</v>
      </c>
      <c r="B27" s="24" t="s">
        <v>483</v>
      </c>
      <c r="C27" s="24" t="s">
        <v>774</v>
      </c>
      <c r="D27" s="24" t="s">
        <v>775</v>
      </c>
      <c r="E27" s="24" t="s">
        <v>775</v>
      </c>
      <c r="F27" s="24" t="s">
        <v>1576</v>
      </c>
      <c r="G27" s="24" t="s">
        <v>1065</v>
      </c>
      <c r="H27" s="24" t="s">
        <v>780</v>
      </c>
      <c r="I27" s="24" t="s">
        <v>946</v>
      </c>
      <c r="J27" s="24" t="s">
        <v>779</v>
      </c>
      <c r="K27" s="24" t="s">
        <v>1066</v>
      </c>
    </row>
    <row r="28" spans="1:11" ht="56">
      <c r="A28" s="24" t="s">
        <v>951</v>
      </c>
      <c r="B28" s="24" t="s">
        <v>483</v>
      </c>
      <c r="C28" s="24" t="s">
        <v>20</v>
      </c>
      <c r="D28" s="24" t="s">
        <v>21</v>
      </c>
      <c r="E28" s="24" t="s">
        <v>33</v>
      </c>
      <c r="F28" s="24" t="s">
        <v>465</v>
      </c>
      <c r="G28" s="24" t="s">
        <v>1065</v>
      </c>
      <c r="H28" s="24" t="s">
        <v>27</v>
      </c>
      <c r="I28" s="24" t="s">
        <v>946</v>
      </c>
      <c r="J28" s="24" t="s">
        <v>32</v>
      </c>
      <c r="K28" s="24" t="s">
        <v>1066</v>
      </c>
    </row>
    <row r="29" spans="1:11" ht="112">
      <c r="A29" s="24" t="s">
        <v>952</v>
      </c>
      <c r="B29" s="24" t="s">
        <v>483</v>
      </c>
      <c r="C29" s="24" t="s">
        <v>49</v>
      </c>
      <c r="D29" s="24" t="s">
        <v>50</v>
      </c>
      <c r="E29" s="24" t="s">
        <v>61</v>
      </c>
      <c r="F29" s="24" t="s">
        <v>468</v>
      </c>
      <c r="G29" s="24" t="s">
        <v>1065</v>
      </c>
      <c r="H29" s="24" t="s">
        <v>56</v>
      </c>
      <c r="I29" s="24" t="s">
        <v>946</v>
      </c>
      <c r="J29" s="24" t="s">
        <v>60</v>
      </c>
      <c r="K29" s="24" t="s">
        <v>1066</v>
      </c>
    </row>
    <row r="30" spans="1:11">
      <c r="A30" s="24" t="s">
        <v>953</v>
      </c>
      <c r="B30" s="24" t="s">
        <v>483</v>
      </c>
      <c r="C30" s="24" t="s">
        <v>468</v>
      </c>
      <c r="D30" s="24" t="s">
        <v>767</v>
      </c>
      <c r="E30" s="24" t="s">
        <v>767</v>
      </c>
      <c r="F30" s="24" t="s">
        <v>468</v>
      </c>
      <c r="G30" s="24" t="s">
        <v>1065</v>
      </c>
      <c r="H30" s="24" t="s">
        <v>750</v>
      </c>
      <c r="I30" s="24" t="s">
        <v>946</v>
      </c>
      <c r="J30" s="24" t="s">
        <v>749</v>
      </c>
      <c r="K30" s="24" t="s">
        <v>1066</v>
      </c>
    </row>
    <row r="31" spans="1:11">
      <c r="A31" s="24" t="s">
        <v>954</v>
      </c>
      <c r="B31" s="24" t="s">
        <v>483</v>
      </c>
      <c r="C31" s="24" t="s">
        <v>770</v>
      </c>
      <c r="D31" s="24" t="s">
        <v>771</v>
      </c>
      <c r="E31" s="24" t="s">
        <v>771</v>
      </c>
      <c r="F31" s="24" t="s">
        <v>468</v>
      </c>
      <c r="G31" s="24" t="s">
        <v>1065</v>
      </c>
      <c r="H31" s="24" t="s">
        <v>750</v>
      </c>
      <c r="I31" s="24" t="s">
        <v>946</v>
      </c>
      <c r="J31" s="24" t="s">
        <v>749</v>
      </c>
      <c r="K31" s="24" t="s">
        <v>1066</v>
      </c>
    </row>
    <row r="32" spans="1:11" ht="98">
      <c r="A32" s="24" t="s">
        <v>955</v>
      </c>
      <c r="B32" s="24" t="s">
        <v>483</v>
      </c>
      <c r="C32" s="24" t="s">
        <v>35</v>
      </c>
      <c r="D32" s="24" t="s">
        <v>36</v>
      </c>
      <c r="E32" s="24" t="s">
        <v>47</v>
      </c>
      <c r="F32" s="24" t="s">
        <v>468</v>
      </c>
      <c r="G32" s="24" t="s">
        <v>1065</v>
      </c>
      <c r="H32" s="24" t="s">
        <v>42</v>
      </c>
      <c r="I32" s="24" t="s">
        <v>946</v>
      </c>
      <c r="J32" s="24" t="s">
        <v>46</v>
      </c>
      <c r="K32" s="24" t="s">
        <v>1066</v>
      </c>
    </row>
    <row r="33" spans="1:11" ht="70">
      <c r="A33" s="24" t="s">
        <v>956</v>
      </c>
      <c r="B33" s="24" t="s">
        <v>483</v>
      </c>
      <c r="C33" s="24" t="s">
        <v>62</v>
      </c>
      <c r="D33" s="24" t="s">
        <v>63</v>
      </c>
      <c r="E33" s="24" t="s">
        <v>74</v>
      </c>
      <c r="F33" s="24" t="s">
        <v>471</v>
      </c>
      <c r="G33" s="28" t="s">
        <v>1067</v>
      </c>
      <c r="H33" s="24" t="s">
        <v>69</v>
      </c>
      <c r="I33" s="24" t="s">
        <v>946</v>
      </c>
      <c r="J33" s="24" t="s">
        <v>73</v>
      </c>
      <c r="K33" s="24" t="s">
        <v>1066</v>
      </c>
    </row>
    <row r="34" spans="1:11" ht="112">
      <c r="A34" s="24" t="s">
        <v>957</v>
      </c>
      <c r="B34" s="24" t="s">
        <v>483</v>
      </c>
      <c r="C34" s="24" t="s">
        <v>62</v>
      </c>
      <c r="D34" s="24" t="s">
        <v>63</v>
      </c>
      <c r="E34" s="24" t="s">
        <v>74</v>
      </c>
      <c r="F34" s="24" t="s">
        <v>471</v>
      </c>
      <c r="G34" s="28" t="s">
        <v>1068</v>
      </c>
      <c r="H34" s="24" t="s">
        <v>69</v>
      </c>
      <c r="I34" s="24" t="s">
        <v>946</v>
      </c>
      <c r="J34" s="24" t="s">
        <v>83</v>
      </c>
      <c r="K34" s="24" t="s">
        <v>1066</v>
      </c>
    </row>
    <row r="35" spans="1:11" ht="28">
      <c r="A35" s="24" t="s">
        <v>958</v>
      </c>
      <c r="B35" s="24" t="s">
        <v>483</v>
      </c>
      <c r="C35" s="24" t="s">
        <v>62</v>
      </c>
      <c r="D35" s="24" t="s">
        <v>718</v>
      </c>
      <c r="E35" s="24" t="s">
        <v>729</v>
      </c>
      <c r="F35" s="24" t="s">
        <v>473</v>
      </c>
      <c r="G35" s="24" t="s">
        <v>1065</v>
      </c>
      <c r="H35" s="24" t="s">
        <v>106</v>
      </c>
      <c r="I35" s="24" t="s">
        <v>946</v>
      </c>
      <c r="J35" s="24" t="s">
        <v>728</v>
      </c>
      <c r="K35" s="24" t="s">
        <v>1066</v>
      </c>
    </row>
    <row r="36" spans="1:11" ht="28">
      <c r="A36" s="24" t="s">
        <v>959</v>
      </c>
      <c r="B36" s="24" t="s">
        <v>483</v>
      </c>
      <c r="C36" s="24" t="s">
        <v>471</v>
      </c>
      <c r="D36" s="24" t="s">
        <v>928</v>
      </c>
      <c r="E36" s="24" t="s">
        <v>928</v>
      </c>
      <c r="F36" s="24" t="s">
        <v>471</v>
      </c>
      <c r="G36" s="24" t="s">
        <v>1065</v>
      </c>
      <c r="H36" s="24" t="s">
        <v>934</v>
      </c>
      <c r="I36" s="24" t="s">
        <v>946</v>
      </c>
      <c r="J36" s="24" t="s">
        <v>932</v>
      </c>
      <c r="K36" s="24" t="s">
        <v>1066</v>
      </c>
    </row>
    <row r="37" spans="1:11" ht="154">
      <c r="A37" s="24" t="s">
        <v>960</v>
      </c>
      <c r="B37" s="24" t="s">
        <v>483</v>
      </c>
      <c r="C37" s="24" t="s">
        <v>100</v>
      </c>
      <c r="D37" s="24" t="s">
        <v>101</v>
      </c>
      <c r="E37" s="24" t="s">
        <v>111</v>
      </c>
      <c r="F37" s="24" t="s">
        <v>476</v>
      </c>
      <c r="G37" s="24" t="s">
        <v>1065</v>
      </c>
      <c r="H37" s="24" t="s">
        <v>106</v>
      </c>
      <c r="I37" s="24" t="s">
        <v>946</v>
      </c>
      <c r="J37" s="24" t="s">
        <v>110</v>
      </c>
      <c r="K37" s="24" t="s">
        <v>1066</v>
      </c>
    </row>
    <row r="38" spans="1:11" ht="70">
      <c r="A38" s="24" t="s">
        <v>961</v>
      </c>
      <c r="B38" s="24" t="s">
        <v>483</v>
      </c>
      <c r="C38" s="24" t="s">
        <v>84</v>
      </c>
      <c r="D38" s="24" t="s">
        <v>85</v>
      </c>
      <c r="E38" s="24" t="s">
        <v>95</v>
      </c>
      <c r="F38" s="24" t="s">
        <v>476</v>
      </c>
      <c r="G38" s="24" t="s">
        <v>1065</v>
      </c>
      <c r="H38" s="24" t="s">
        <v>90</v>
      </c>
      <c r="I38" s="24" t="s">
        <v>946</v>
      </c>
      <c r="J38" s="24" t="s">
        <v>94</v>
      </c>
      <c r="K38" s="24" t="s">
        <v>1066</v>
      </c>
    </row>
    <row r="39" spans="1:11" ht="70">
      <c r="A39" s="24" t="s">
        <v>962</v>
      </c>
      <c r="B39" s="24" t="s">
        <v>483</v>
      </c>
      <c r="C39" s="24" t="s">
        <v>97</v>
      </c>
      <c r="D39" s="24" t="s">
        <v>98</v>
      </c>
      <c r="E39" s="24" t="s">
        <v>95</v>
      </c>
      <c r="F39" s="24" t="s">
        <v>476</v>
      </c>
      <c r="G39" s="24" t="s">
        <v>1065</v>
      </c>
      <c r="H39" s="24" t="s">
        <v>90</v>
      </c>
      <c r="I39" s="24" t="s">
        <v>946</v>
      </c>
      <c r="J39" s="24" t="s">
        <v>99</v>
      </c>
      <c r="K39" s="24" t="s">
        <v>1066</v>
      </c>
    </row>
    <row r="40" spans="1:11" ht="112">
      <c r="A40" s="24" t="s">
        <v>963</v>
      </c>
      <c r="B40" s="24" t="s">
        <v>483</v>
      </c>
      <c r="C40" s="24" t="s">
        <v>100</v>
      </c>
      <c r="D40" s="24" t="s">
        <v>101</v>
      </c>
      <c r="E40" s="24" t="s">
        <v>122</v>
      </c>
      <c r="F40" s="24" t="s">
        <v>476</v>
      </c>
      <c r="G40" s="24" t="s">
        <v>1065</v>
      </c>
      <c r="H40" s="24" t="s">
        <v>117</v>
      </c>
      <c r="I40" s="24" t="s">
        <v>946</v>
      </c>
      <c r="J40" s="24" t="s">
        <v>121</v>
      </c>
      <c r="K40" s="24" t="s">
        <v>1066</v>
      </c>
    </row>
    <row r="41" spans="1:11" ht="70">
      <c r="A41" s="24" t="s">
        <v>964</v>
      </c>
      <c r="B41" s="24" t="s">
        <v>483</v>
      </c>
      <c r="C41" s="24" t="s">
        <v>123</v>
      </c>
      <c r="D41" s="24" t="s">
        <v>124</v>
      </c>
      <c r="E41" s="24" t="s">
        <v>135</v>
      </c>
      <c r="F41" s="24" t="s">
        <v>479</v>
      </c>
      <c r="G41" s="24" t="s">
        <v>1065</v>
      </c>
      <c r="H41" s="24" t="s">
        <v>130</v>
      </c>
      <c r="I41" s="24" t="s">
        <v>946</v>
      </c>
      <c r="J41" s="24" t="s">
        <v>134</v>
      </c>
      <c r="K41" s="24" t="s">
        <v>1066</v>
      </c>
    </row>
    <row r="42" spans="1:11" ht="70">
      <c r="A42" s="24" t="s">
        <v>965</v>
      </c>
      <c r="B42" s="24" t="s">
        <v>484</v>
      </c>
      <c r="C42" s="24" t="s">
        <v>137</v>
      </c>
      <c r="D42" s="24" t="s">
        <v>21</v>
      </c>
      <c r="E42" s="24" t="s">
        <v>147</v>
      </c>
      <c r="F42" s="24" t="s">
        <v>465</v>
      </c>
      <c r="G42" s="24" t="s">
        <v>1065</v>
      </c>
      <c r="H42" s="24" t="s">
        <v>142</v>
      </c>
      <c r="I42" s="24" t="s">
        <v>946</v>
      </c>
      <c r="J42" s="24" t="s">
        <v>146</v>
      </c>
      <c r="K42" s="24" t="s">
        <v>1066</v>
      </c>
    </row>
    <row r="43" spans="1:11" ht="126">
      <c r="A43" s="24" t="s">
        <v>966</v>
      </c>
      <c r="B43" s="24" t="s">
        <v>484</v>
      </c>
      <c r="C43" s="24" t="s">
        <v>165</v>
      </c>
      <c r="D43" s="24" t="s">
        <v>166</v>
      </c>
      <c r="E43" s="24" t="s">
        <v>176</v>
      </c>
      <c r="F43" s="24" t="s">
        <v>473</v>
      </c>
      <c r="G43" s="24" t="s">
        <v>1065</v>
      </c>
      <c r="H43" s="24" t="s">
        <v>171</v>
      </c>
      <c r="I43" s="24" t="s">
        <v>946</v>
      </c>
      <c r="J43" s="24" t="s">
        <v>175</v>
      </c>
      <c r="K43" s="24" t="s">
        <v>1066</v>
      </c>
    </row>
    <row r="44" spans="1:11">
      <c r="A44" s="24" t="s">
        <v>968</v>
      </c>
      <c r="B44" s="24" t="s">
        <v>484</v>
      </c>
      <c r="C44" s="24" t="s">
        <v>468</v>
      </c>
      <c r="D44" s="24" t="s">
        <v>796</v>
      </c>
      <c r="E44" s="24" t="s">
        <v>796</v>
      </c>
      <c r="F44" s="24" t="s">
        <v>468</v>
      </c>
      <c r="G44" s="24" t="s">
        <v>1065</v>
      </c>
      <c r="H44" s="24" t="s">
        <v>800</v>
      </c>
      <c r="I44" s="24" t="s">
        <v>946</v>
      </c>
      <c r="J44" s="24" t="s">
        <v>799</v>
      </c>
      <c r="K44" s="24" t="s">
        <v>1066</v>
      </c>
    </row>
    <row r="45" spans="1:11" ht="84">
      <c r="A45" s="24" t="s">
        <v>969</v>
      </c>
      <c r="B45" s="24" t="s">
        <v>484</v>
      </c>
      <c r="C45" s="24" t="s">
        <v>148</v>
      </c>
      <c r="D45" s="24" t="s">
        <v>149</v>
      </c>
      <c r="E45" s="24" t="s">
        <v>160</v>
      </c>
      <c r="F45" s="24" t="s">
        <v>468</v>
      </c>
      <c r="G45" s="24" t="s">
        <v>1065</v>
      </c>
      <c r="H45" s="24" t="s">
        <v>155</v>
      </c>
      <c r="I45" s="24" t="s">
        <v>946</v>
      </c>
      <c r="J45" s="24" t="s">
        <v>159</v>
      </c>
      <c r="K45" s="24" t="s">
        <v>1066</v>
      </c>
    </row>
    <row r="46" spans="1:11" ht="84">
      <c r="A46" s="24" t="s">
        <v>970</v>
      </c>
      <c r="B46" s="24" t="s">
        <v>484</v>
      </c>
      <c r="C46" s="24" t="s">
        <v>161</v>
      </c>
      <c r="D46" s="24" t="s">
        <v>162</v>
      </c>
      <c r="E46" s="24" t="s">
        <v>164</v>
      </c>
      <c r="F46" s="24" t="s">
        <v>468</v>
      </c>
      <c r="G46" s="24" t="s">
        <v>1065</v>
      </c>
      <c r="H46" s="24" t="s">
        <v>155</v>
      </c>
      <c r="I46" s="24" t="s">
        <v>946</v>
      </c>
      <c r="J46" s="24" t="s">
        <v>163</v>
      </c>
      <c r="K46" s="24" t="s">
        <v>1066</v>
      </c>
    </row>
    <row r="47" spans="1:11" ht="98">
      <c r="A47" s="24" t="s">
        <v>971</v>
      </c>
      <c r="B47" s="24" t="s">
        <v>484</v>
      </c>
      <c r="C47" s="24" t="s">
        <v>165</v>
      </c>
      <c r="D47" s="24" t="s">
        <v>166</v>
      </c>
      <c r="E47" s="24" t="s">
        <v>164</v>
      </c>
      <c r="F47" s="24" t="s">
        <v>468</v>
      </c>
      <c r="G47" s="28" t="s">
        <v>1069</v>
      </c>
      <c r="H47" s="24" t="s">
        <v>155</v>
      </c>
      <c r="I47" s="24" t="s">
        <v>946</v>
      </c>
      <c r="J47" s="24" t="s">
        <v>177</v>
      </c>
      <c r="K47" s="24" t="s">
        <v>1066</v>
      </c>
    </row>
    <row r="48" spans="1:11" ht="126">
      <c r="A48" s="24" t="s">
        <v>972</v>
      </c>
      <c r="B48" s="24" t="s">
        <v>484</v>
      </c>
      <c r="C48" s="24" t="s">
        <v>178</v>
      </c>
      <c r="D48" s="24" t="s">
        <v>179</v>
      </c>
      <c r="E48" s="24" t="s">
        <v>186</v>
      </c>
      <c r="F48" s="24" t="s">
        <v>473</v>
      </c>
      <c r="G48" s="24" t="s">
        <v>1065</v>
      </c>
      <c r="H48" s="24" t="s">
        <v>171</v>
      </c>
      <c r="I48" s="24" t="s">
        <v>946</v>
      </c>
      <c r="J48" s="24" t="s">
        <v>185</v>
      </c>
      <c r="K48" s="24" t="s">
        <v>1066</v>
      </c>
    </row>
    <row r="49" spans="1:11" ht="126">
      <c r="A49" s="24" t="s">
        <v>973</v>
      </c>
      <c r="B49" s="24" t="s">
        <v>484</v>
      </c>
      <c r="C49" s="24" t="s">
        <v>178</v>
      </c>
      <c r="D49" s="24" t="s">
        <v>179</v>
      </c>
      <c r="E49" s="24" t="s">
        <v>195</v>
      </c>
      <c r="F49" s="24" t="s">
        <v>473</v>
      </c>
      <c r="G49" s="24" t="s">
        <v>1065</v>
      </c>
      <c r="H49" s="24" t="s">
        <v>171</v>
      </c>
      <c r="I49" s="24" t="s">
        <v>946</v>
      </c>
      <c r="J49" s="24" t="s">
        <v>194</v>
      </c>
      <c r="K49" s="24" t="s">
        <v>1066</v>
      </c>
    </row>
    <row r="50" spans="1:11" ht="98">
      <c r="A50" s="24" t="s">
        <v>974</v>
      </c>
      <c r="B50" s="24" t="s">
        <v>484</v>
      </c>
      <c r="C50" s="24" t="s">
        <v>178</v>
      </c>
      <c r="D50" s="24" t="s">
        <v>179</v>
      </c>
      <c r="E50" s="24" t="s">
        <v>204</v>
      </c>
      <c r="F50" s="24" t="s">
        <v>473</v>
      </c>
      <c r="G50" s="28" t="s">
        <v>1070</v>
      </c>
      <c r="H50" s="24" t="s">
        <v>155</v>
      </c>
      <c r="I50" s="24" t="s">
        <v>946</v>
      </c>
      <c r="J50" s="24" t="s">
        <v>203</v>
      </c>
      <c r="K50" s="24" t="s">
        <v>1066</v>
      </c>
    </row>
    <row r="51" spans="1:11" ht="112">
      <c r="A51" s="24" t="s">
        <v>975</v>
      </c>
      <c r="B51" s="24" t="s">
        <v>484</v>
      </c>
      <c r="C51" s="24" t="s">
        <v>178</v>
      </c>
      <c r="D51" s="24" t="s">
        <v>179</v>
      </c>
      <c r="E51" s="24" t="s">
        <v>195</v>
      </c>
      <c r="F51" s="24" t="s">
        <v>473</v>
      </c>
      <c r="G51" s="24" t="s">
        <v>1065</v>
      </c>
      <c r="H51" s="24" t="s">
        <v>171</v>
      </c>
      <c r="I51" s="24" t="s">
        <v>946</v>
      </c>
      <c r="J51" s="24" t="s">
        <v>202</v>
      </c>
      <c r="K51" s="24" t="s">
        <v>1066</v>
      </c>
    </row>
    <row r="52" spans="1:11" ht="126">
      <c r="A52" s="24" t="s">
        <v>976</v>
      </c>
      <c r="B52" s="24" t="s">
        <v>484</v>
      </c>
      <c r="C52" s="24" t="s">
        <v>205</v>
      </c>
      <c r="D52" s="24" t="s">
        <v>206</v>
      </c>
      <c r="E52" s="24" t="s">
        <v>214</v>
      </c>
      <c r="F52" s="24" t="s">
        <v>471</v>
      </c>
      <c r="G52" s="24" t="s">
        <v>1065</v>
      </c>
      <c r="H52" s="24" t="s">
        <v>69</v>
      </c>
      <c r="I52" s="24" t="s">
        <v>946</v>
      </c>
      <c r="J52" s="24" t="s">
        <v>213</v>
      </c>
      <c r="K52" s="24" t="s">
        <v>1066</v>
      </c>
    </row>
    <row r="53" spans="1:11" ht="84">
      <c r="A53" s="24" t="s">
        <v>977</v>
      </c>
      <c r="B53" s="24" t="s">
        <v>484</v>
      </c>
      <c r="C53" s="24" t="s">
        <v>205</v>
      </c>
      <c r="D53" s="24" t="s">
        <v>206</v>
      </c>
      <c r="E53" s="24" t="s">
        <v>214</v>
      </c>
      <c r="F53" s="24" t="s">
        <v>471</v>
      </c>
      <c r="G53" s="24" t="s">
        <v>1065</v>
      </c>
      <c r="H53" s="24" t="s">
        <v>69</v>
      </c>
      <c r="I53" s="24" t="s">
        <v>946</v>
      </c>
      <c r="J53" s="24" t="s">
        <v>221</v>
      </c>
      <c r="K53" s="24" t="s">
        <v>1066</v>
      </c>
    </row>
    <row r="54" spans="1:11" ht="98">
      <c r="A54" s="24" t="s">
        <v>978</v>
      </c>
      <c r="B54" s="24" t="s">
        <v>484</v>
      </c>
      <c r="C54" s="24" t="s">
        <v>205</v>
      </c>
      <c r="D54" s="24" t="s">
        <v>206</v>
      </c>
      <c r="E54" s="24" t="s">
        <v>242</v>
      </c>
      <c r="F54" s="24" t="s">
        <v>471</v>
      </c>
      <c r="G54" s="24" t="s">
        <v>1065</v>
      </c>
      <c r="H54" s="24" t="s">
        <v>237</v>
      </c>
      <c r="I54" s="24" t="s">
        <v>946</v>
      </c>
      <c r="J54" s="24" t="s">
        <v>241</v>
      </c>
      <c r="K54" s="24" t="s">
        <v>1066</v>
      </c>
    </row>
    <row r="55" spans="1:11" ht="112">
      <c r="A55" s="24" t="s">
        <v>979</v>
      </c>
      <c r="B55" s="24" t="s">
        <v>484</v>
      </c>
      <c r="C55" s="24" t="s">
        <v>205</v>
      </c>
      <c r="D55" s="24" t="s">
        <v>206</v>
      </c>
      <c r="E55" s="24" t="s">
        <v>195</v>
      </c>
      <c r="F55" s="24" t="s">
        <v>471</v>
      </c>
      <c r="G55" s="24" t="s">
        <v>1065</v>
      </c>
      <c r="H55" s="24" t="s">
        <v>171</v>
      </c>
      <c r="I55" s="24" t="s">
        <v>946</v>
      </c>
      <c r="J55" s="24" t="s">
        <v>207</v>
      </c>
      <c r="K55" s="24" t="s">
        <v>1066</v>
      </c>
    </row>
    <row r="56" spans="1:11" ht="126">
      <c r="A56" s="24" t="s">
        <v>980</v>
      </c>
      <c r="B56" s="24" t="s">
        <v>484</v>
      </c>
      <c r="C56" s="24" t="s">
        <v>205</v>
      </c>
      <c r="D56" s="24" t="s">
        <v>206</v>
      </c>
      <c r="E56" s="24" t="s">
        <v>231</v>
      </c>
      <c r="F56" s="24" t="s">
        <v>471</v>
      </c>
      <c r="G56" s="24" t="s">
        <v>1065</v>
      </c>
      <c r="H56" s="24" t="s">
        <v>226</v>
      </c>
      <c r="I56" s="24" t="s">
        <v>946</v>
      </c>
      <c r="J56" s="24" t="s">
        <v>230</v>
      </c>
      <c r="K56" s="24" t="s">
        <v>1066</v>
      </c>
    </row>
    <row r="57" spans="1:11" ht="112">
      <c r="A57" s="24" t="s">
        <v>981</v>
      </c>
      <c r="B57" s="24" t="s">
        <v>484</v>
      </c>
      <c r="C57" s="24" t="s">
        <v>205</v>
      </c>
      <c r="D57" s="24" t="s">
        <v>206</v>
      </c>
      <c r="E57" s="24" t="s">
        <v>195</v>
      </c>
      <c r="F57" s="24" t="s">
        <v>471</v>
      </c>
      <c r="G57" s="24" t="s">
        <v>1065</v>
      </c>
      <c r="H57" s="24" t="s">
        <v>171</v>
      </c>
      <c r="I57" s="24" t="s">
        <v>946</v>
      </c>
      <c r="J57" s="24" t="s">
        <v>209</v>
      </c>
      <c r="K57" s="24" t="s">
        <v>1066</v>
      </c>
    </row>
    <row r="58" spans="1:11" ht="112">
      <c r="A58" s="24" t="s">
        <v>982</v>
      </c>
      <c r="B58" s="24" t="s">
        <v>484</v>
      </c>
      <c r="C58" s="24" t="s">
        <v>243</v>
      </c>
      <c r="D58" s="24" t="s">
        <v>244</v>
      </c>
      <c r="E58" s="24" t="s">
        <v>250</v>
      </c>
      <c r="F58" s="24" t="s">
        <v>476</v>
      </c>
      <c r="G58" s="24" t="s">
        <v>1065</v>
      </c>
      <c r="H58" s="24" t="s">
        <v>171</v>
      </c>
      <c r="I58" s="24" t="s">
        <v>946</v>
      </c>
      <c r="J58" s="24" t="s">
        <v>249</v>
      </c>
      <c r="K58" s="24" t="s">
        <v>1066</v>
      </c>
    </row>
    <row r="59" spans="1:11" ht="112">
      <c r="A59" s="24" t="s">
        <v>983</v>
      </c>
      <c r="B59" s="24" t="s">
        <v>484</v>
      </c>
      <c r="C59" s="24" t="s">
        <v>243</v>
      </c>
      <c r="D59" s="24" t="s">
        <v>244</v>
      </c>
      <c r="E59" s="24" t="s">
        <v>250</v>
      </c>
      <c r="F59" s="24" t="s">
        <v>476</v>
      </c>
      <c r="G59" s="24" t="s">
        <v>1065</v>
      </c>
      <c r="H59" s="24" t="s">
        <v>171</v>
      </c>
      <c r="I59" s="24" t="s">
        <v>946</v>
      </c>
      <c r="J59" s="24" t="s">
        <v>251</v>
      </c>
      <c r="K59" s="24" t="s">
        <v>1066</v>
      </c>
    </row>
    <row r="60" spans="1:11" ht="70">
      <c r="A60" s="24" t="s">
        <v>984</v>
      </c>
      <c r="B60" s="24" t="s">
        <v>484</v>
      </c>
      <c r="C60" s="24" t="s">
        <v>252</v>
      </c>
      <c r="D60" s="24" t="s">
        <v>253</v>
      </c>
      <c r="E60" s="24" t="s">
        <v>263</v>
      </c>
      <c r="F60" s="24" t="s">
        <v>479</v>
      </c>
      <c r="G60" s="28" t="s">
        <v>1071</v>
      </c>
      <c r="H60" s="24" t="s">
        <v>258</v>
      </c>
      <c r="I60" s="24" t="s">
        <v>946</v>
      </c>
      <c r="J60" s="24" t="s">
        <v>262</v>
      </c>
      <c r="K60" s="24" t="s">
        <v>1066</v>
      </c>
    </row>
    <row r="61" spans="1:11" ht="56">
      <c r="A61" s="24" t="s">
        <v>985</v>
      </c>
      <c r="B61" s="24" t="s">
        <v>485</v>
      </c>
      <c r="C61" s="24" t="s">
        <v>264</v>
      </c>
      <c r="D61" s="24" t="s">
        <v>265</v>
      </c>
      <c r="E61" s="24" t="s">
        <v>275</v>
      </c>
      <c r="F61" s="24" t="s">
        <v>465</v>
      </c>
      <c r="G61" s="28" t="s">
        <v>1072</v>
      </c>
      <c r="H61" s="24" t="s">
        <v>270</v>
      </c>
      <c r="I61" s="24" t="s">
        <v>946</v>
      </c>
      <c r="J61" s="24" t="s">
        <v>274</v>
      </c>
      <c r="K61" s="24" t="s">
        <v>1066</v>
      </c>
    </row>
    <row r="62" spans="1:11" ht="84">
      <c r="A62" s="24" t="s">
        <v>986</v>
      </c>
      <c r="B62" s="24" t="s">
        <v>485</v>
      </c>
      <c r="C62" s="24" t="s">
        <v>264</v>
      </c>
      <c r="D62" s="24" t="s">
        <v>265</v>
      </c>
      <c r="E62" s="24" t="s">
        <v>147</v>
      </c>
      <c r="F62" s="24" t="s">
        <v>465</v>
      </c>
      <c r="G62" s="24" t="s">
        <v>1065</v>
      </c>
      <c r="H62" s="24" t="s">
        <v>281</v>
      </c>
      <c r="I62" s="24" t="s">
        <v>946</v>
      </c>
      <c r="J62" s="24" t="s">
        <v>285</v>
      </c>
      <c r="K62" s="24" t="s">
        <v>1066</v>
      </c>
    </row>
    <row r="63" spans="1:11" ht="28">
      <c r="A63" s="24" t="s">
        <v>987</v>
      </c>
      <c r="B63" s="24" t="s">
        <v>485</v>
      </c>
      <c r="C63" s="24" t="s">
        <v>465</v>
      </c>
      <c r="D63" s="24" t="s">
        <v>808</v>
      </c>
      <c r="E63" s="24" t="s">
        <v>808</v>
      </c>
      <c r="F63" s="24" t="s">
        <v>465</v>
      </c>
      <c r="G63" s="24" t="s">
        <v>1065</v>
      </c>
      <c r="H63" s="24" t="s">
        <v>813</v>
      </c>
      <c r="I63" s="24" t="s">
        <v>946</v>
      </c>
      <c r="J63" s="24" t="s">
        <v>812</v>
      </c>
      <c r="K63" s="24" t="s">
        <v>1066</v>
      </c>
    </row>
    <row r="64" spans="1:11" ht="42">
      <c r="A64" s="24" t="s">
        <v>988</v>
      </c>
      <c r="B64" s="24" t="s">
        <v>485</v>
      </c>
      <c r="C64" s="24" t="s">
        <v>264</v>
      </c>
      <c r="D64" s="24" t="s">
        <v>265</v>
      </c>
      <c r="E64" s="24" t="s">
        <v>34</v>
      </c>
      <c r="F64" s="24" t="s">
        <v>465</v>
      </c>
      <c r="G64" s="24" t="s">
        <v>1065</v>
      </c>
      <c r="H64" s="24" t="s">
        <v>291</v>
      </c>
      <c r="I64" s="24" t="s">
        <v>946</v>
      </c>
      <c r="J64" s="24" t="s">
        <v>295</v>
      </c>
      <c r="K64" s="24" t="s">
        <v>1066</v>
      </c>
    </row>
    <row r="65" spans="1:11" ht="56">
      <c r="A65" s="24" t="s">
        <v>989</v>
      </c>
      <c r="B65" s="24" t="s">
        <v>485</v>
      </c>
      <c r="C65" s="24" t="s">
        <v>296</v>
      </c>
      <c r="D65" s="24" t="s">
        <v>297</v>
      </c>
      <c r="E65" s="24" t="s">
        <v>299</v>
      </c>
      <c r="F65" s="24" t="s">
        <v>468</v>
      </c>
      <c r="G65" s="28" t="s">
        <v>1073</v>
      </c>
      <c r="H65" s="24" t="s">
        <v>270</v>
      </c>
      <c r="I65" s="24" t="s">
        <v>946</v>
      </c>
      <c r="J65" s="24" t="s">
        <v>298</v>
      </c>
      <c r="K65" s="24" t="s">
        <v>1066</v>
      </c>
    </row>
    <row r="66" spans="1:11">
      <c r="A66" s="24" t="s">
        <v>990</v>
      </c>
      <c r="B66" s="24" t="s">
        <v>485</v>
      </c>
      <c r="C66" s="24" t="s">
        <v>468</v>
      </c>
      <c r="D66" s="24" t="s">
        <v>821</v>
      </c>
      <c r="E66" s="24" t="s">
        <v>821</v>
      </c>
      <c r="F66" s="24" t="s">
        <v>468</v>
      </c>
      <c r="G66" s="24" t="s">
        <v>1065</v>
      </c>
      <c r="H66" s="24" t="s">
        <v>826</v>
      </c>
      <c r="I66" s="24" t="s">
        <v>946</v>
      </c>
      <c r="J66" s="24" t="s">
        <v>825</v>
      </c>
      <c r="K66" s="24" t="s">
        <v>1066</v>
      </c>
    </row>
    <row r="67" spans="1:11" ht="28">
      <c r="A67" s="24" t="s">
        <v>991</v>
      </c>
      <c r="B67" s="24" t="s">
        <v>485</v>
      </c>
      <c r="C67" s="24" t="s">
        <v>468</v>
      </c>
      <c r="D67" s="24" t="s">
        <v>915</v>
      </c>
      <c r="E67" s="24" t="s">
        <v>915</v>
      </c>
      <c r="F67" s="24" t="s">
        <v>468</v>
      </c>
      <c r="G67" s="24" t="s">
        <v>1065</v>
      </c>
      <c r="H67" s="24" t="s">
        <v>921</v>
      </c>
      <c r="I67" s="24" t="s">
        <v>946</v>
      </c>
      <c r="J67" s="24" t="s">
        <v>919</v>
      </c>
      <c r="K67" s="24" t="s">
        <v>1066</v>
      </c>
    </row>
    <row r="68" spans="1:11" ht="56">
      <c r="A68" s="24" t="s">
        <v>992</v>
      </c>
      <c r="B68" s="24" t="s">
        <v>485</v>
      </c>
      <c r="C68" s="24" t="s">
        <v>296</v>
      </c>
      <c r="D68" s="24" t="s">
        <v>297</v>
      </c>
      <c r="E68" s="24" t="s">
        <v>48</v>
      </c>
      <c r="F68" s="24" t="s">
        <v>468</v>
      </c>
      <c r="G68" s="24" t="s">
        <v>1065</v>
      </c>
      <c r="H68" s="24" t="s">
        <v>291</v>
      </c>
      <c r="I68" s="24" t="s">
        <v>946</v>
      </c>
      <c r="J68" s="24" t="s">
        <v>300</v>
      </c>
      <c r="K68" s="24" t="s">
        <v>1066</v>
      </c>
    </row>
    <row r="69" spans="1:11" ht="28">
      <c r="A69" s="24" t="s">
        <v>993</v>
      </c>
      <c r="B69" s="24" t="s">
        <v>485</v>
      </c>
      <c r="C69" s="24" t="s">
        <v>97</v>
      </c>
      <c r="D69" s="24" t="s">
        <v>322</v>
      </c>
      <c r="E69" s="24" t="s">
        <v>299</v>
      </c>
      <c r="F69" s="24" t="s">
        <v>473</v>
      </c>
      <c r="G69" s="28" t="s">
        <v>1074</v>
      </c>
      <c r="H69" s="24" t="s">
        <v>270</v>
      </c>
      <c r="I69" s="24" t="s">
        <v>946</v>
      </c>
      <c r="J69" s="24" t="s">
        <v>323</v>
      </c>
      <c r="K69" s="24" t="s">
        <v>1066</v>
      </c>
    </row>
    <row r="70" spans="1:11" ht="28">
      <c r="A70" s="24" t="s">
        <v>994</v>
      </c>
      <c r="B70" s="24" t="s">
        <v>485</v>
      </c>
      <c r="C70" s="24" t="s">
        <v>326</v>
      </c>
      <c r="D70" s="24" t="s">
        <v>327</v>
      </c>
      <c r="E70" s="24" t="s">
        <v>299</v>
      </c>
      <c r="F70" s="24" t="s">
        <v>473</v>
      </c>
      <c r="G70" s="28" t="s">
        <v>1075</v>
      </c>
      <c r="H70" s="24" t="s">
        <v>270</v>
      </c>
      <c r="I70" s="24" t="s">
        <v>946</v>
      </c>
      <c r="J70" s="24" t="s">
        <v>328</v>
      </c>
      <c r="K70" s="24" t="s">
        <v>1066</v>
      </c>
    </row>
    <row r="71" spans="1:11">
      <c r="A71" s="24" t="s">
        <v>995</v>
      </c>
      <c r="B71" s="24" t="s">
        <v>485</v>
      </c>
      <c r="C71" s="24" t="s">
        <v>473</v>
      </c>
      <c r="D71" s="24" t="s">
        <v>326</v>
      </c>
      <c r="E71" s="24" t="s">
        <v>326</v>
      </c>
      <c r="F71" s="24" t="s">
        <v>473</v>
      </c>
      <c r="G71" s="24" t="s">
        <v>1065</v>
      </c>
      <c r="H71" s="24" t="s">
        <v>839</v>
      </c>
      <c r="I71" s="24" t="s">
        <v>946</v>
      </c>
      <c r="J71" s="24" t="s">
        <v>837</v>
      </c>
      <c r="K71" s="24" t="s">
        <v>1066</v>
      </c>
    </row>
    <row r="72" spans="1:11" ht="56">
      <c r="A72" s="24" t="s">
        <v>996</v>
      </c>
      <c r="B72" s="24" t="s">
        <v>485</v>
      </c>
      <c r="C72" s="24" t="s">
        <v>97</v>
      </c>
      <c r="D72" s="24" t="s">
        <v>322</v>
      </c>
      <c r="E72" s="24" t="s">
        <v>321</v>
      </c>
      <c r="F72" s="24" t="s">
        <v>473</v>
      </c>
      <c r="G72" s="24" t="s">
        <v>1065</v>
      </c>
      <c r="H72" s="24" t="s">
        <v>291</v>
      </c>
      <c r="I72" s="24" t="s">
        <v>946</v>
      </c>
      <c r="J72" s="24" t="s">
        <v>324</v>
      </c>
      <c r="K72" s="24" t="s">
        <v>1066</v>
      </c>
    </row>
    <row r="73" spans="1:11" ht="42">
      <c r="A73" s="24" t="s">
        <v>997</v>
      </c>
      <c r="B73" s="24" t="s">
        <v>485</v>
      </c>
      <c r="C73" s="24" t="s">
        <v>97</v>
      </c>
      <c r="D73" s="24" t="s">
        <v>322</v>
      </c>
      <c r="E73" s="24" t="s">
        <v>321</v>
      </c>
      <c r="F73" s="24" t="s">
        <v>473</v>
      </c>
      <c r="G73" s="24" t="s">
        <v>1065</v>
      </c>
      <c r="H73" s="24" t="s">
        <v>291</v>
      </c>
      <c r="I73" s="24" t="s">
        <v>946</v>
      </c>
      <c r="J73" s="24" t="s">
        <v>325</v>
      </c>
      <c r="K73" s="24" t="s">
        <v>1066</v>
      </c>
    </row>
    <row r="74" spans="1:11" ht="42">
      <c r="A74" s="24" t="s">
        <v>998</v>
      </c>
      <c r="B74" s="24" t="s">
        <v>485</v>
      </c>
      <c r="C74" s="24" t="s">
        <v>326</v>
      </c>
      <c r="D74" s="24" t="s">
        <v>327</v>
      </c>
      <c r="E74" s="24" t="s">
        <v>321</v>
      </c>
      <c r="F74" s="24" t="s">
        <v>473</v>
      </c>
      <c r="G74" s="24" t="s">
        <v>1065</v>
      </c>
      <c r="H74" s="24" t="s">
        <v>291</v>
      </c>
      <c r="I74" s="24" t="s">
        <v>946</v>
      </c>
      <c r="J74" s="24" t="s">
        <v>329</v>
      </c>
      <c r="K74" s="24" t="s">
        <v>1066</v>
      </c>
    </row>
    <row r="75" spans="1:11" ht="42">
      <c r="A75" s="24" t="s">
        <v>999</v>
      </c>
      <c r="B75" s="24" t="s">
        <v>485</v>
      </c>
      <c r="C75" s="24" t="s">
        <v>326</v>
      </c>
      <c r="D75" s="24" t="s">
        <v>327</v>
      </c>
      <c r="E75" s="24" t="s">
        <v>321</v>
      </c>
      <c r="F75" s="24" t="s">
        <v>473</v>
      </c>
      <c r="G75" s="24" t="s">
        <v>1065</v>
      </c>
      <c r="H75" s="24" t="s">
        <v>291</v>
      </c>
      <c r="I75" s="24" t="s">
        <v>946</v>
      </c>
      <c r="J75" s="24" t="s">
        <v>330</v>
      </c>
      <c r="K75" s="24" t="s">
        <v>1066</v>
      </c>
    </row>
    <row r="76" spans="1:11" ht="56">
      <c r="A76" s="24" t="s">
        <v>1000</v>
      </c>
      <c r="B76" s="24" t="s">
        <v>485</v>
      </c>
      <c r="C76" s="24" t="s">
        <v>301</v>
      </c>
      <c r="D76" s="24" t="s">
        <v>302</v>
      </c>
      <c r="E76" s="24" t="s">
        <v>299</v>
      </c>
      <c r="F76" s="24" t="s">
        <v>471</v>
      </c>
      <c r="G76" s="24" t="s">
        <v>1065</v>
      </c>
      <c r="H76" s="24" t="s">
        <v>270</v>
      </c>
      <c r="I76" s="24" t="s">
        <v>946</v>
      </c>
      <c r="J76" s="24" t="s">
        <v>303</v>
      </c>
      <c r="K76" s="24" t="s">
        <v>1066</v>
      </c>
    </row>
    <row r="77" spans="1:11">
      <c r="A77" s="24" t="s">
        <v>1001</v>
      </c>
      <c r="B77" s="24" t="s">
        <v>485</v>
      </c>
      <c r="C77" s="24" t="s">
        <v>471</v>
      </c>
      <c r="D77" s="24" t="s">
        <v>846</v>
      </c>
      <c r="E77" s="24" t="s">
        <v>846</v>
      </c>
      <c r="F77" s="24" t="s">
        <v>471</v>
      </c>
      <c r="G77" s="24" t="s">
        <v>1065</v>
      </c>
      <c r="H77" s="24" t="s">
        <v>850</v>
      </c>
      <c r="I77" s="24" t="s">
        <v>946</v>
      </c>
      <c r="J77" s="24" t="s">
        <v>849</v>
      </c>
      <c r="K77" s="24" t="s">
        <v>1066</v>
      </c>
    </row>
    <row r="78" spans="1:11">
      <c r="A78" s="24" t="s">
        <v>1002</v>
      </c>
      <c r="B78" s="24" t="s">
        <v>485</v>
      </c>
      <c r="C78" s="24" t="s">
        <v>471</v>
      </c>
      <c r="D78" s="24" t="s">
        <v>846</v>
      </c>
      <c r="E78" s="24" t="s">
        <v>846</v>
      </c>
      <c r="F78" s="24" t="s">
        <v>471</v>
      </c>
      <c r="G78" s="24" t="s">
        <v>1065</v>
      </c>
      <c r="H78" s="24" t="s">
        <v>850</v>
      </c>
      <c r="I78" s="24" t="s">
        <v>946</v>
      </c>
      <c r="J78" s="24" t="s">
        <v>849</v>
      </c>
      <c r="K78" s="24" t="s">
        <v>1066</v>
      </c>
    </row>
    <row r="79" spans="1:11" ht="28">
      <c r="A79" s="24" t="s">
        <v>1003</v>
      </c>
      <c r="B79" s="24" t="s">
        <v>485</v>
      </c>
      <c r="C79" s="24" t="s">
        <v>471</v>
      </c>
      <c r="D79" s="24" t="s">
        <v>901</v>
      </c>
      <c r="E79" s="24" t="s">
        <v>901</v>
      </c>
      <c r="F79" s="24" t="s">
        <v>471</v>
      </c>
      <c r="G79" s="24" t="s">
        <v>1065</v>
      </c>
      <c r="H79" s="24" t="s">
        <v>907</v>
      </c>
      <c r="I79" s="24" t="s">
        <v>946</v>
      </c>
      <c r="J79" s="24" t="s">
        <v>905</v>
      </c>
      <c r="K79" s="24" t="s">
        <v>1066</v>
      </c>
    </row>
    <row r="80" spans="1:11" ht="84">
      <c r="A80" s="24" t="s">
        <v>1004</v>
      </c>
      <c r="B80" s="24" t="s">
        <v>485</v>
      </c>
      <c r="C80" s="24" t="s">
        <v>301</v>
      </c>
      <c r="D80" s="24" t="s">
        <v>302</v>
      </c>
      <c r="E80" s="24" t="s">
        <v>313</v>
      </c>
      <c r="F80" s="24" t="s">
        <v>471</v>
      </c>
      <c r="G80" s="24" t="s">
        <v>1065</v>
      </c>
      <c r="H80" s="24" t="s">
        <v>308</v>
      </c>
      <c r="I80" s="24" t="s">
        <v>946</v>
      </c>
      <c r="J80" s="24" t="s">
        <v>312</v>
      </c>
      <c r="K80" s="24" t="s">
        <v>1066</v>
      </c>
    </row>
    <row r="81" spans="1:11" ht="56">
      <c r="A81" s="24" t="s">
        <v>1005</v>
      </c>
      <c r="B81" s="24" t="s">
        <v>485</v>
      </c>
      <c r="C81" s="24" t="s">
        <v>301</v>
      </c>
      <c r="D81" s="24" t="s">
        <v>302</v>
      </c>
      <c r="E81" s="24" t="s">
        <v>75</v>
      </c>
      <c r="F81" s="24" t="s">
        <v>471</v>
      </c>
      <c r="G81" s="24" t="s">
        <v>1065</v>
      </c>
      <c r="H81" s="24" t="s">
        <v>291</v>
      </c>
      <c r="I81" s="24" t="s">
        <v>946</v>
      </c>
      <c r="J81" s="24" t="s">
        <v>314</v>
      </c>
      <c r="K81" s="24" t="s">
        <v>1066</v>
      </c>
    </row>
    <row r="82" spans="1:11" ht="42">
      <c r="A82" s="24" t="s">
        <v>1006</v>
      </c>
      <c r="B82" s="24" t="s">
        <v>485</v>
      </c>
      <c r="C82" s="24" t="s">
        <v>301</v>
      </c>
      <c r="D82" s="24" t="s">
        <v>302</v>
      </c>
      <c r="E82" s="24" t="s">
        <v>321</v>
      </c>
      <c r="F82" s="24" t="s">
        <v>471</v>
      </c>
      <c r="G82" s="24" t="s">
        <v>1065</v>
      </c>
      <c r="H82" s="24" t="s">
        <v>291</v>
      </c>
      <c r="I82" s="24" t="s">
        <v>946</v>
      </c>
      <c r="J82" s="24" t="s">
        <v>320</v>
      </c>
      <c r="K82" s="24" t="s">
        <v>1066</v>
      </c>
    </row>
    <row r="83" spans="1:11" ht="42">
      <c r="A83" s="24" t="s">
        <v>1007</v>
      </c>
      <c r="B83" s="24" t="s">
        <v>485</v>
      </c>
      <c r="C83" s="24" t="s">
        <v>331</v>
      </c>
      <c r="D83" s="24" t="s">
        <v>332</v>
      </c>
      <c r="E83" s="24" t="s">
        <v>299</v>
      </c>
      <c r="F83" s="24" t="s">
        <v>476</v>
      </c>
      <c r="G83" s="24" t="s">
        <v>1065</v>
      </c>
      <c r="H83" s="24" t="s">
        <v>270</v>
      </c>
      <c r="I83" s="24" t="s">
        <v>946</v>
      </c>
      <c r="J83" s="24" t="s">
        <v>333</v>
      </c>
      <c r="K83" s="24" t="s">
        <v>1066</v>
      </c>
    </row>
    <row r="84" spans="1:11" ht="70">
      <c r="A84" s="24" t="s">
        <v>1008</v>
      </c>
      <c r="B84" s="24" t="s">
        <v>485</v>
      </c>
      <c r="C84" s="24" t="s">
        <v>331</v>
      </c>
      <c r="D84" s="24" t="s">
        <v>332</v>
      </c>
      <c r="E84" s="24" t="s">
        <v>96</v>
      </c>
      <c r="F84" s="24" t="s">
        <v>476</v>
      </c>
      <c r="G84" s="24" t="s">
        <v>1065</v>
      </c>
      <c r="H84" s="24" t="s">
        <v>339</v>
      </c>
      <c r="I84" s="24" t="s">
        <v>946</v>
      </c>
      <c r="J84" s="24" t="s">
        <v>343</v>
      </c>
      <c r="K84" s="24" t="s">
        <v>1066</v>
      </c>
    </row>
    <row r="85" spans="1:11" ht="84">
      <c r="A85" s="24" t="s">
        <v>1009</v>
      </c>
      <c r="B85" s="24" t="s">
        <v>485</v>
      </c>
      <c r="C85" s="24" t="s">
        <v>345</v>
      </c>
      <c r="D85" s="24" t="s">
        <v>346</v>
      </c>
      <c r="E85" s="24" t="s">
        <v>299</v>
      </c>
      <c r="F85" s="24" t="s">
        <v>476</v>
      </c>
      <c r="G85" s="28" t="s">
        <v>1076</v>
      </c>
      <c r="H85" s="24" t="s">
        <v>270</v>
      </c>
      <c r="I85" s="24" t="s">
        <v>946</v>
      </c>
      <c r="J85" s="24" t="s">
        <v>347</v>
      </c>
      <c r="K85" s="24" t="s">
        <v>1066</v>
      </c>
    </row>
    <row r="86" spans="1:11" ht="98">
      <c r="A86" s="24" t="s">
        <v>1010</v>
      </c>
      <c r="B86" s="24" t="s">
        <v>485</v>
      </c>
      <c r="C86" s="24" t="s">
        <v>345</v>
      </c>
      <c r="D86" s="24" t="s">
        <v>346</v>
      </c>
      <c r="E86" s="24" t="s">
        <v>349</v>
      </c>
      <c r="F86" s="24" t="s">
        <v>476</v>
      </c>
      <c r="G86" s="24" t="s">
        <v>1065</v>
      </c>
      <c r="H86" s="24" t="s">
        <v>339</v>
      </c>
      <c r="I86" s="24" t="s">
        <v>946</v>
      </c>
      <c r="J86" s="24" t="s">
        <v>348</v>
      </c>
      <c r="K86" s="24" t="s">
        <v>1066</v>
      </c>
    </row>
    <row r="87" spans="1:11" ht="56">
      <c r="A87" s="24" t="s">
        <v>1011</v>
      </c>
      <c r="B87" s="24" t="s">
        <v>485</v>
      </c>
      <c r="C87" s="24" t="s">
        <v>331</v>
      </c>
      <c r="D87" s="24" t="s">
        <v>332</v>
      </c>
      <c r="E87" s="24" t="s">
        <v>321</v>
      </c>
      <c r="F87" s="24" t="s">
        <v>476</v>
      </c>
      <c r="G87" s="28" t="s">
        <v>1077</v>
      </c>
      <c r="H87" s="24" t="s">
        <v>291</v>
      </c>
      <c r="I87" s="24" t="s">
        <v>946</v>
      </c>
      <c r="J87" s="24" t="s">
        <v>344</v>
      </c>
      <c r="K87" s="24" t="s">
        <v>1066</v>
      </c>
    </row>
    <row r="88" spans="1:11" ht="28">
      <c r="A88" s="24" t="s">
        <v>1012</v>
      </c>
      <c r="B88" s="24" t="s">
        <v>485</v>
      </c>
      <c r="C88" s="24" t="s">
        <v>859</v>
      </c>
      <c r="D88" s="24" t="s">
        <v>860</v>
      </c>
      <c r="E88" s="24" t="s">
        <v>860</v>
      </c>
      <c r="F88" s="24" t="s">
        <v>479</v>
      </c>
      <c r="G88" s="24" t="s">
        <v>1065</v>
      </c>
      <c r="H88" s="24" t="s">
        <v>866</v>
      </c>
      <c r="I88" s="24" t="s">
        <v>946</v>
      </c>
      <c r="J88" s="24" t="s">
        <v>864</v>
      </c>
      <c r="K88" s="24" t="s">
        <v>1066</v>
      </c>
    </row>
    <row r="89" spans="1:11" ht="28">
      <c r="A89" s="24" t="s">
        <v>1013</v>
      </c>
      <c r="B89" s="24" t="s">
        <v>485</v>
      </c>
      <c r="C89" s="24" t="s">
        <v>350</v>
      </c>
      <c r="D89" s="24" t="s">
        <v>351</v>
      </c>
      <c r="E89" s="24" t="s">
        <v>299</v>
      </c>
      <c r="F89" s="24" t="s">
        <v>479</v>
      </c>
      <c r="G89" s="28" t="s">
        <v>1078</v>
      </c>
      <c r="H89" s="24" t="s">
        <v>270</v>
      </c>
      <c r="I89" s="24" t="s">
        <v>946</v>
      </c>
      <c r="J89" s="24" t="s">
        <v>352</v>
      </c>
      <c r="K89" s="24" t="s">
        <v>1066</v>
      </c>
    </row>
    <row r="90" spans="1:11" ht="28">
      <c r="A90" s="24" t="s">
        <v>1014</v>
      </c>
      <c r="B90" s="24" t="s">
        <v>486</v>
      </c>
      <c r="C90" s="24" t="s">
        <v>353</v>
      </c>
      <c r="D90" s="24" t="s">
        <v>21</v>
      </c>
      <c r="E90" s="24" t="s">
        <v>362</v>
      </c>
      <c r="F90" s="24" t="s">
        <v>465</v>
      </c>
      <c r="G90" s="28" t="s">
        <v>1079</v>
      </c>
      <c r="H90" s="24" t="s">
        <v>357</v>
      </c>
      <c r="I90" s="24" t="s">
        <v>946</v>
      </c>
      <c r="J90" s="24" t="s">
        <v>361</v>
      </c>
      <c r="K90" s="24" t="s">
        <v>1066</v>
      </c>
    </row>
    <row r="91" spans="1:11">
      <c r="A91" s="24" t="s">
        <v>1015</v>
      </c>
      <c r="B91" s="24" t="s">
        <v>486</v>
      </c>
      <c r="C91" s="24" t="s">
        <v>465</v>
      </c>
      <c r="D91" s="24" t="s">
        <v>873</v>
      </c>
      <c r="E91" s="24" t="s">
        <v>873</v>
      </c>
      <c r="F91" s="24" t="s">
        <v>465</v>
      </c>
      <c r="G91" s="24" t="s">
        <v>1065</v>
      </c>
      <c r="H91" s="24" t="s">
        <v>877</v>
      </c>
      <c r="I91" s="24" t="s">
        <v>946</v>
      </c>
      <c r="J91" s="24" t="s">
        <v>876</v>
      </c>
      <c r="K91" s="24" t="s">
        <v>1066</v>
      </c>
    </row>
    <row r="92" spans="1:11">
      <c r="A92" s="24" t="s">
        <v>1016</v>
      </c>
      <c r="B92" s="24" t="s">
        <v>486</v>
      </c>
      <c r="C92" s="24" t="s">
        <v>465</v>
      </c>
      <c r="D92" s="24" t="s">
        <v>873</v>
      </c>
      <c r="E92" s="24" t="s">
        <v>873</v>
      </c>
      <c r="F92" s="24" t="s">
        <v>465</v>
      </c>
      <c r="G92" s="24" t="s">
        <v>1065</v>
      </c>
      <c r="H92" s="24" t="s">
        <v>877</v>
      </c>
      <c r="I92" s="24" t="s">
        <v>946</v>
      </c>
      <c r="J92" s="24" t="s">
        <v>876</v>
      </c>
      <c r="K92" s="24" t="s">
        <v>1066</v>
      </c>
    </row>
    <row r="93" spans="1:11" ht="28">
      <c r="A93" s="24" t="s">
        <v>1017</v>
      </c>
      <c r="B93" s="24" t="s">
        <v>486</v>
      </c>
      <c r="C93" s="24" t="s">
        <v>363</v>
      </c>
      <c r="D93" s="24" t="s">
        <v>364</v>
      </c>
      <c r="E93" s="24" t="s">
        <v>362</v>
      </c>
      <c r="F93" s="24" t="s">
        <v>468</v>
      </c>
      <c r="G93" s="28" t="s">
        <v>1080</v>
      </c>
      <c r="H93" s="24" t="s">
        <v>357</v>
      </c>
      <c r="I93" s="24" t="s">
        <v>946</v>
      </c>
      <c r="J93" s="24" t="s">
        <v>365</v>
      </c>
      <c r="K93" s="24" t="s">
        <v>1066</v>
      </c>
    </row>
    <row r="94" spans="1:11" ht="70">
      <c r="A94" s="24" t="s">
        <v>1018</v>
      </c>
      <c r="B94" s="24" t="s">
        <v>486</v>
      </c>
      <c r="C94" s="24" t="s">
        <v>366</v>
      </c>
      <c r="D94" s="24" t="s">
        <v>367</v>
      </c>
      <c r="E94" s="24" t="s">
        <v>48</v>
      </c>
      <c r="F94" s="24" t="s">
        <v>468</v>
      </c>
      <c r="G94" s="24" t="s">
        <v>1065</v>
      </c>
      <c r="H94" s="24" t="s">
        <v>372</v>
      </c>
      <c r="I94" s="24" t="s">
        <v>946</v>
      </c>
      <c r="J94" s="24" t="s">
        <v>376</v>
      </c>
      <c r="K94" s="24" t="s">
        <v>1066</v>
      </c>
    </row>
    <row r="95" spans="1:11" ht="28">
      <c r="A95" s="24" t="s">
        <v>1019</v>
      </c>
      <c r="B95" s="24" t="s">
        <v>486</v>
      </c>
      <c r="C95" s="24" t="s">
        <v>886</v>
      </c>
      <c r="D95" s="24" t="s">
        <v>887</v>
      </c>
      <c r="E95" s="24" t="s">
        <v>887</v>
      </c>
      <c r="F95" s="24" t="s">
        <v>468</v>
      </c>
      <c r="G95" s="24" t="s">
        <v>1065</v>
      </c>
      <c r="H95" s="24" t="s">
        <v>892</v>
      </c>
      <c r="I95" s="24" t="s">
        <v>946</v>
      </c>
      <c r="J95" s="24" t="s">
        <v>891</v>
      </c>
      <c r="K95" s="24" t="s">
        <v>1066</v>
      </c>
    </row>
    <row r="96" spans="1:11" ht="28">
      <c r="A96" s="24" t="s">
        <v>1020</v>
      </c>
      <c r="B96" s="24" t="s">
        <v>486</v>
      </c>
      <c r="C96" s="24" t="s">
        <v>886</v>
      </c>
      <c r="D96" s="24" t="s">
        <v>887</v>
      </c>
      <c r="E96" s="24" t="s">
        <v>887</v>
      </c>
      <c r="F96" s="24" t="s">
        <v>468</v>
      </c>
      <c r="G96" s="24" t="s">
        <v>1065</v>
      </c>
      <c r="H96" s="24" t="s">
        <v>892</v>
      </c>
      <c r="I96" s="24" t="s">
        <v>946</v>
      </c>
      <c r="J96" s="24" t="s">
        <v>891</v>
      </c>
      <c r="K96" s="24" t="s">
        <v>1066</v>
      </c>
    </row>
    <row r="97" spans="1:11" ht="70">
      <c r="A97" s="24" t="s">
        <v>1021</v>
      </c>
      <c r="B97" s="24" t="s">
        <v>486</v>
      </c>
      <c r="C97" s="24" t="s">
        <v>377</v>
      </c>
      <c r="D97" s="24" t="s">
        <v>378</v>
      </c>
      <c r="E97" s="24" t="s">
        <v>187</v>
      </c>
      <c r="F97" s="24" t="s">
        <v>473</v>
      </c>
      <c r="G97" s="24" t="s">
        <v>1065</v>
      </c>
      <c r="H97" s="24" t="s">
        <v>392</v>
      </c>
      <c r="I97" s="24" t="s">
        <v>946</v>
      </c>
      <c r="J97" s="24" t="s">
        <v>396</v>
      </c>
      <c r="K97" s="24" t="s">
        <v>1066</v>
      </c>
    </row>
    <row r="98" spans="1:11" ht="84">
      <c r="A98" s="24" t="s">
        <v>1022</v>
      </c>
      <c r="B98" s="24" t="s">
        <v>486</v>
      </c>
      <c r="C98" s="24" t="s">
        <v>377</v>
      </c>
      <c r="D98" s="24" t="s">
        <v>378</v>
      </c>
      <c r="E98" s="24" t="s">
        <v>187</v>
      </c>
      <c r="F98" s="24" t="s">
        <v>473</v>
      </c>
      <c r="G98" s="24" t="s">
        <v>1065</v>
      </c>
      <c r="H98" s="24" t="s">
        <v>383</v>
      </c>
      <c r="I98" s="24" t="s">
        <v>946</v>
      </c>
      <c r="J98" s="24" t="s">
        <v>387</v>
      </c>
      <c r="K98" s="24" t="s">
        <v>1066</v>
      </c>
    </row>
    <row r="99" spans="1:11" ht="42">
      <c r="A99" s="24" t="s">
        <v>1023</v>
      </c>
      <c r="B99" s="24" t="s">
        <v>486</v>
      </c>
      <c r="C99" s="24" t="s">
        <v>397</v>
      </c>
      <c r="D99" s="24" t="s">
        <v>398</v>
      </c>
      <c r="E99" s="24" t="s">
        <v>187</v>
      </c>
      <c r="F99" s="24" t="s">
        <v>473</v>
      </c>
      <c r="G99" s="24" t="s">
        <v>1065</v>
      </c>
      <c r="H99" s="24" t="s">
        <v>404</v>
      </c>
      <c r="I99" s="24" t="s">
        <v>946</v>
      </c>
      <c r="J99" s="24" t="s">
        <v>408</v>
      </c>
      <c r="K99" s="24" t="s">
        <v>1066</v>
      </c>
    </row>
    <row r="100" spans="1:11" ht="70">
      <c r="A100" s="24" t="s">
        <v>1024</v>
      </c>
      <c r="B100" s="24" t="s">
        <v>486</v>
      </c>
      <c r="C100" s="24" t="s">
        <v>409</v>
      </c>
      <c r="D100" s="24" t="s">
        <v>206</v>
      </c>
      <c r="E100" s="24" t="s">
        <v>208</v>
      </c>
      <c r="F100" s="24" t="s">
        <v>471</v>
      </c>
      <c r="G100" s="24" t="s">
        <v>1065</v>
      </c>
      <c r="H100" s="24" t="s">
        <v>69</v>
      </c>
      <c r="I100" s="24" t="s">
        <v>946</v>
      </c>
      <c r="J100" s="24" t="s">
        <v>414</v>
      </c>
      <c r="K100" s="24" t="s">
        <v>1066</v>
      </c>
    </row>
    <row r="101" spans="1:11" ht="70">
      <c r="A101" s="24" t="s">
        <v>1025</v>
      </c>
      <c r="B101" s="24" t="s">
        <v>486</v>
      </c>
      <c r="C101" s="24" t="s">
        <v>409</v>
      </c>
      <c r="D101" s="24" t="s">
        <v>206</v>
      </c>
      <c r="E101" s="24" t="s">
        <v>208</v>
      </c>
      <c r="F101" s="24" t="s">
        <v>471</v>
      </c>
      <c r="G101" s="24" t="s">
        <v>1065</v>
      </c>
      <c r="H101" s="24" t="s">
        <v>69</v>
      </c>
      <c r="I101" s="24" t="s">
        <v>946</v>
      </c>
      <c r="J101" s="24" t="s">
        <v>420</v>
      </c>
      <c r="K101" s="24" t="s">
        <v>1066</v>
      </c>
    </row>
    <row r="102" spans="1:11" ht="28">
      <c r="A102" s="24" t="s">
        <v>1026</v>
      </c>
      <c r="B102" s="24" t="s">
        <v>486</v>
      </c>
      <c r="C102" s="24" t="s">
        <v>409</v>
      </c>
      <c r="D102" s="24" t="s">
        <v>206</v>
      </c>
      <c r="E102" s="24" t="s">
        <v>432</v>
      </c>
      <c r="F102" s="24" t="s">
        <v>471</v>
      </c>
      <c r="G102" s="24" t="s">
        <v>1065</v>
      </c>
      <c r="H102" s="24" t="s">
        <v>404</v>
      </c>
      <c r="I102" s="24" t="s">
        <v>946</v>
      </c>
      <c r="J102" s="24" t="s">
        <v>431</v>
      </c>
      <c r="K102" s="24" t="s">
        <v>1066</v>
      </c>
    </row>
    <row r="103" spans="1:11" ht="84">
      <c r="A103" s="24" t="s">
        <v>1027</v>
      </c>
      <c r="B103" s="24" t="s">
        <v>486</v>
      </c>
      <c r="C103" s="24" t="s">
        <v>409</v>
      </c>
      <c r="D103" s="24" t="s">
        <v>206</v>
      </c>
      <c r="E103" s="24" t="s">
        <v>430</v>
      </c>
      <c r="F103" s="24" t="s">
        <v>471</v>
      </c>
      <c r="G103" s="24" t="s">
        <v>1065</v>
      </c>
      <c r="H103" s="24" t="s">
        <v>425</v>
      </c>
      <c r="I103" s="24" t="s">
        <v>946</v>
      </c>
      <c r="J103" s="24" t="s">
        <v>429</v>
      </c>
      <c r="K103" s="24" t="s">
        <v>1066</v>
      </c>
    </row>
    <row r="104" spans="1:11" ht="140">
      <c r="A104" s="24" t="s">
        <v>1028</v>
      </c>
      <c r="B104" s="24" t="s">
        <v>486</v>
      </c>
      <c r="C104" s="24" t="s">
        <v>433</v>
      </c>
      <c r="D104" s="24" t="s">
        <v>244</v>
      </c>
      <c r="E104" s="24" t="s">
        <v>443</v>
      </c>
      <c r="F104" s="24" t="s">
        <v>476</v>
      </c>
      <c r="G104" s="24" t="s">
        <v>1065</v>
      </c>
      <c r="H104" s="24" t="s">
        <v>438</v>
      </c>
      <c r="I104" s="24" t="s">
        <v>946</v>
      </c>
      <c r="J104" s="24" t="s">
        <v>442</v>
      </c>
      <c r="K104" s="24" t="s">
        <v>1066</v>
      </c>
    </row>
    <row r="105" spans="1:11" ht="28">
      <c r="A105" s="24" t="s">
        <v>1029</v>
      </c>
      <c r="B105" s="24" t="s">
        <v>486</v>
      </c>
      <c r="C105" s="24" t="s">
        <v>433</v>
      </c>
      <c r="D105" s="24" t="s">
        <v>244</v>
      </c>
      <c r="E105" s="24" t="s">
        <v>96</v>
      </c>
      <c r="F105" s="24" t="s">
        <v>476</v>
      </c>
      <c r="G105" s="24" t="s">
        <v>1065</v>
      </c>
      <c r="H105" s="24" t="s">
        <v>404</v>
      </c>
      <c r="I105" s="24" t="s">
        <v>946</v>
      </c>
      <c r="J105" s="24" t="s">
        <v>444</v>
      </c>
      <c r="K105" s="24" t="s">
        <v>1066</v>
      </c>
    </row>
    <row r="106" spans="1:11" ht="70">
      <c r="A106" s="24" t="s">
        <v>1030</v>
      </c>
      <c r="B106" s="24" t="s">
        <v>486</v>
      </c>
      <c r="C106" s="24" t="s">
        <v>445</v>
      </c>
      <c r="D106" s="24" t="s">
        <v>253</v>
      </c>
      <c r="E106" s="24" t="s">
        <v>136</v>
      </c>
      <c r="F106" s="24" t="s">
        <v>479</v>
      </c>
      <c r="G106" s="24" t="s">
        <v>1065</v>
      </c>
      <c r="H106" s="24" t="s">
        <v>451</v>
      </c>
      <c r="I106" s="24" t="s">
        <v>946</v>
      </c>
      <c r="J106" s="24" t="s">
        <v>455</v>
      </c>
      <c r="K106" s="24" t="s">
        <v>1066</v>
      </c>
    </row>
    <row r="107" spans="1:11" ht="125" customHeight="1">
      <c r="A107" s="29" t="s">
        <v>1330</v>
      </c>
      <c r="B107" s="29" t="s">
        <v>483</v>
      </c>
      <c r="C107" s="29" t="s">
        <v>1182</v>
      </c>
      <c r="D107" s="29" t="s">
        <v>1183</v>
      </c>
      <c r="E107" s="29" t="s">
        <v>1183</v>
      </c>
      <c r="F107" s="29" t="s">
        <v>471</v>
      </c>
      <c r="G107" s="29" t="s">
        <v>1192</v>
      </c>
      <c r="H107" s="29" t="s">
        <v>1189</v>
      </c>
      <c r="I107" s="29" t="s">
        <v>1198</v>
      </c>
      <c r="J107" s="29" t="s">
        <v>31</v>
      </c>
      <c r="K107" s="29" t="s">
        <v>1325</v>
      </c>
    </row>
    <row r="108" spans="1:11" ht="125" customHeight="1">
      <c r="A108" s="29" t="s">
        <v>1331</v>
      </c>
      <c r="B108" s="29" t="s">
        <v>483</v>
      </c>
      <c r="C108" s="29" t="s">
        <v>476</v>
      </c>
      <c r="D108" s="29" t="s">
        <v>1205</v>
      </c>
      <c r="E108" s="29" t="s">
        <v>1205</v>
      </c>
      <c r="F108" s="29" t="s">
        <v>476</v>
      </c>
      <c r="G108" s="29" t="s">
        <v>1207</v>
      </c>
      <c r="H108" s="29" t="s">
        <v>1189</v>
      </c>
      <c r="I108" s="29" t="s">
        <v>1198</v>
      </c>
      <c r="J108" s="29" t="s">
        <v>31</v>
      </c>
      <c r="K108" s="29" t="s">
        <v>1326</v>
      </c>
    </row>
    <row r="109" spans="1:11" ht="125" customHeight="1">
      <c r="A109" s="29" t="s">
        <v>1332</v>
      </c>
      <c r="B109" s="29" t="s">
        <v>484</v>
      </c>
      <c r="C109" s="29" t="s">
        <v>465</v>
      </c>
      <c r="D109" s="29" t="s">
        <v>1211</v>
      </c>
      <c r="E109" s="29" t="s">
        <v>1211</v>
      </c>
      <c r="F109" s="29" t="s">
        <v>465</v>
      </c>
      <c r="G109" s="29" t="s">
        <v>1216</v>
      </c>
      <c r="H109" s="29" t="s">
        <v>1214</v>
      </c>
      <c r="I109" s="29" t="s">
        <v>1220</v>
      </c>
      <c r="J109" s="29" t="s">
        <v>31</v>
      </c>
      <c r="K109" s="29" t="s">
        <v>1327</v>
      </c>
    </row>
    <row r="110" spans="1:11" ht="125" customHeight="1">
      <c r="A110" s="29" t="s">
        <v>1333</v>
      </c>
      <c r="B110" s="29" t="s">
        <v>484</v>
      </c>
      <c r="C110" s="29" t="s">
        <v>1225</v>
      </c>
      <c r="D110" s="29" t="s">
        <v>1226</v>
      </c>
      <c r="E110" s="29" t="s">
        <v>1226</v>
      </c>
      <c r="F110" s="29" t="s">
        <v>479</v>
      </c>
      <c r="G110" s="29" t="s">
        <v>1228</v>
      </c>
      <c r="H110" s="29" t="s">
        <v>1214</v>
      </c>
      <c r="I110" s="29" t="s">
        <v>1220</v>
      </c>
      <c r="J110" s="29" t="s">
        <v>31</v>
      </c>
      <c r="K110" s="29" t="s">
        <v>1334</v>
      </c>
    </row>
    <row r="111" spans="1:11" ht="125" customHeight="1">
      <c r="A111" s="29" t="s">
        <v>1335</v>
      </c>
      <c r="B111" s="29" t="s">
        <v>484</v>
      </c>
      <c r="C111" s="29" t="s">
        <v>967</v>
      </c>
      <c r="D111" s="29" t="s">
        <v>1233</v>
      </c>
      <c r="E111" s="29" t="s">
        <v>1233</v>
      </c>
      <c r="F111" s="29" t="s">
        <v>473</v>
      </c>
      <c r="G111" s="29" t="s">
        <v>1237</v>
      </c>
      <c r="H111" s="29" t="s">
        <v>1235</v>
      </c>
      <c r="I111" s="29" t="s">
        <v>1240</v>
      </c>
      <c r="J111" s="29" t="s">
        <v>31</v>
      </c>
      <c r="K111" s="29" t="s">
        <v>1336</v>
      </c>
    </row>
    <row r="112" spans="1:11" ht="125" customHeight="1">
      <c r="A112" s="29" t="s">
        <v>1337</v>
      </c>
      <c r="B112" s="29" t="s">
        <v>484</v>
      </c>
      <c r="C112" s="29" t="s">
        <v>471</v>
      </c>
      <c r="D112" s="29" t="s">
        <v>1243</v>
      </c>
      <c r="E112" s="29" t="s">
        <v>1243</v>
      </c>
      <c r="F112" s="29" t="s">
        <v>471</v>
      </c>
      <c r="G112" s="29" t="s">
        <v>1244</v>
      </c>
      <c r="H112" s="29" t="s">
        <v>1235</v>
      </c>
      <c r="I112" s="29" t="s">
        <v>1240</v>
      </c>
      <c r="J112" s="29" t="s">
        <v>31</v>
      </c>
      <c r="K112" s="29" t="s">
        <v>1338</v>
      </c>
    </row>
    <row r="113" spans="1:11" ht="125" customHeight="1">
      <c r="A113" s="29" t="s">
        <v>1339</v>
      </c>
      <c r="B113" s="29" t="s">
        <v>484</v>
      </c>
      <c r="C113" s="29" t="s">
        <v>476</v>
      </c>
      <c r="D113" s="29" t="s">
        <v>1247</v>
      </c>
      <c r="E113" s="29" t="s">
        <v>1247</v>
      </c>
      <c r="F113" s="29" t="s">
        <v>476</v>
      </c>
      <c r="G113" s="29" t="s">
        <v>1248</v>
      </c>
      <c r="H113" s="29" t="s">
        <v>1235</v>
      </c>
      <c r="I113" s="29" t="s">
        <v>1240</v>
      </c>
      <c r="J113" s="29" t="s">
        <v>31</v>
      </c>
      <c r="K113" s="29" t="s">
        <v>1340</v>
      </c>
    </row>
    <row r="114" spans="1:11" ht="125" customHeight="1">
      <c r="A114" s="29" t="s">
        <v>1341</v>
      </c>
      <c r="B114" s="29" t="s">
        <v>486</v>
      </c>
      <c r="C114" s="29" t="s">
        <v>468</v>
      </c>
      <c r="D114" s="29" t="s">
        <v>1251</v>
      </c>
      <c r="E114" s="29" t="s">
        <v>1251</v>
      </c>
      <c r="F114" s="29" t="s">
        <v>468</v>
      </c>
      <c r="G114" s="29" t="s">
        <v>1258</v>
      </c>
      <c r="H114" s="29" t="s">
        <v>1256</v>
      </c>
      <c r="I114" s="29" t="s">
        <v>1261</v>
      </c>
      <c r="J114" s="29" t="s">
        <v>31</v>
      </c>
      <c r="K114" s="29" t="s">
        <v>1342</v>
      </c>
    </row>
    <row r="115" spans="1:11" ht="125" customHeight="1">
      <c r="A115" s="29" t="s">
        <v>1343</v>
      </c>
      <c r="B115" s="29" t="s">
        <v>486</v>
      </c>
      <c r="C115" s="29" t="s">
        <v>468</v>
      </c>
      <c r="D115" s="29" t="s">
        <v>1265</v>
      </c>
      <c r="E115" s="29" t="s">
        <v>1265</v>
      </c>
      <c r="F115" s="29" t="s">
        <v>468</v>
      </c>
      <c r="G115" s="29" t="s">
        <v>1258</v>
      </c>
      <c r="H115" s="29" t="s">
        <v>1256</v>
      </c>
      <c r="I115" s="29" t="s">
        <v>1261</v>
      </c>
      <c r="J115" s="29" t="s">
        <v>31</v>
      </c>
      <c r="K115" s="29" t="s">
        <v>1344</v>
      </c>
    </row>
    <row r="116" spans="1:11" ht="125" customHeight="1">
      <c r="A116" s="29" t="s">
        <v>1345</v>
      </c>
      <c r="B116" s="29" t="s">
        <v>486</v>
      </c>
      <c r="C116" s="29" t="s">
        <v>473</v>
      </c>
      <c r="D116" s="29" t="s">
        <v>1269</v>
      </c>
      <c r="E116" s="29" t="s">
        <v>1269</v>
      </c>
      <c r="F116" s="29" t="s">
        <v>473</v>
      </c>
      <c r="G116" s="29" t="s">
        <v>1258</v>
      </c>
      <c r="H116" s="29" t="s">
        <v>1256</v>
      </c>
      <c r="I116" s="29" t="s">
        <v>1261</v>
      </c>
      <c r="J116" s="29" t="s">
        <v>31</v>
      </c>
      <c r="K116" s="29" t="s">
        <v>1346</v>
      </c>
    </row>
    <row r="117" spans="1:11" ht="125" customHeight="1">
      <c r="A117" s="29" t="s">
        <v>1347</v>
      </c>
      <c r="B117" s="29" t="s">
        <v>486</v>
      </c>
      <c r="C117" s="29" t="s">
        <v>473</v>
      </c>
      <c r="D117" s="29" t="s">
        <v>1273</v>
      </c>
      <c r="E117" s="29" t="s">
        <v>1273</v>
      </c>
      <c r="F117" s="29" t="s">
        <v>473</v>
      </c>
      <c r="G117" s="29" t="s">
        <v>1258</v>
      </c>
      <c r="H117" s="29" t="s">
        <v>1256</v>
      </c>
      <c r="I117" s="29" t="s">
        <v>1261</v>
      </c>
      <c r="J117" s="29" t="s">
        <v>31</v>
      </c>
      <c r="K117" s="29" t="s">
        <v>1348</v>
      </c>
    </row>
    <row r="118" spans="1:11" ht="125" customHeight="1">
      <c r="A118" s="29" t="s">
        <v>1278</v>
      </c>
      <c r="B118" s="29" t="s">
        <v>486</v>
      </c>
      <c r="C118" s="29" t="s">
        <v>471</v>
      </c>
      <c r="D118" s="29" t="s">
        <v>1277</v>
      </c>
      <c r="E118" s="29" t="s">
        <v>1277</v>
      </c>
      <c r="F118" s="29" t="s">
        <v>471</v>
      </c>
      <c r="G118" s="29" t="s">
        <v>1258</v>
      </c>
      <c r="H118" s="29" t="s">
        <v>1256</v>
      </c>
      <c r="I118" s="29" t="s">
        <v>1261</v>
      </c>
      <c r="J118" s="29" t="s">
        <v>31</v>
      </c>
      <c r="K118" s="29" t="s">
        <v>1329</v>
      </c>
    </row>
    <row r="119" spans="1:11" ht="125" customHeight="1">
      <c r="A119" s="29" t="s">
        <v>1280</v>
      </c>
      <c r="B119" s="29" t="s">
        <v>486</v>
      </c>
      <c r="C119" s="29" t="s">
        <v>476</v>
      </c>
      <c r="D119" s="29" t="s">
        <v>1279</v>
      </c>
      <c r="E119" s="29" t="s">
        <v>1279</v>
      </c>
      <c r="F119" s="29" t="s">
        <v>476</v>
      </c>
      <c r="G119" s="29" t="s">
        <v>1258</v>
      </c>
      <c r="H119" s="29" t="s">
        <v>1256</v>
      </c>
      <c r="I119" s="29" t="s">
        <v>1261</v>
      </c>
      <c r="J119" s="29" t="s">
        <v>31</v>
      </c>
      <c r="K119" s="29" t="s">
        <v>1349</v>
      </c>
    </row>
    <row r="120" spans="1:11" ht="125" customHeight="1">
      <c r="A120" s="29" t="s">
        <v>1282</v>
      </c>
      <c r="B120" s="29" t="s">
        <v>486</v>
      </c>
      <c r="C120" s="29" t="s">
        <v>476</v>
      </c>
      <c r="D120" s="29" t="s">
        <v>1281</v>
      </c>
      <c r="E120" s="29" t="s">
        <v>1281</v>
      </c>
      <c r="F120" s="29" t="s">
        <v>476</v>
      </c>
      <c r="G120" s="29" t="s">
        <v>1258</v>
      </c>
      <c r="H120" s="29" t="s">
        <v>1256</v>
      </c>
      <c r="I120" s="29" t="s">
        <v>1261</v>
      </c>
      <c r="J120" s="29" t="s">
        <v>31</v>
      </c>
      <c r="K120" s="29" t="s">
        <v>1350</v>
      </c>
    </row>
    <row r="121" spans="1:11" ht="125" customHeight="1">
      <c r="A121" s="29" t="s">
        <v>1289</v>
      </c>
      <c r="B121" s="29" t="s">
        <v>485</v>
      </c>
      <c r="C121" s="29" t="s">
        <v>468</v>
      </c>
      <c r="D121" s="29" t="s">
        <v>1283</v>
      </c>
      <c r="E121" s="29" t="s">
        <v>1283</v>
      </c>
      <c r="F121" s="29" t="s">
        <v>468</v>
      </c>
      <c r="G121" s="29" t="s">
        <v>1288</v>
      </c>
      <c r="H121" s="29" t="s">
        <v>1286</v>
      </c>
      <c r="I121" s="29" t="s">
        <v>1291</v>
      </c>
      <c r="J121" s="29" t="s">
        <v>31</v>
      </c>
      <c r="K121" s="29" t="s">
        <v>1351</v>
      </c>
    </row>
    <row r="122" spans="1:11" ht="125" customHeight="1">
      <c r="A122" s="29" t="s">
        <v>1297</v>
      </c>
      <c r="B122" s="29" t="s">
        <v>485</v>
      </c>
      <c r="C122" s="29" t="s">
        <v>471</v>
      </c>
      <c r="D122" s="29" t="s">
        <v>1295</v>
      </c>
      <c r="E122" s="29" t="s">
        <v>1295</v>
      </c>
      <c r="F122" s="29" t="s">
        <v>471</v>
      </c>
      <c r="G122" s="29" t="s">
        <v>1288</v>
      </c>
      <c r="H122" s="29" t="s">
        <v>1286</v>
      </c>
      <c r="I122" s="29" t="s">
        <v>1291</v>
      </c>
      <c r="J122" s="29" t="s">
        <v>31</v>
      </c>
      <c r="K122" s="29" t="s">
        <v>1352</v>
      </c>
    </row>
    <row r="123" spans="1:11" ht="125" customHeight="1">
      <c r="A123" s="29" t="s">
        <v>1301</v>
      </c>
      <c r="B123" s="29" t="s">
        <v>485</v>
      </c>
      <c r="C123" s="29" t="s">
        <v>473</v>
      </c>
      <c r="D123" s="29" t="s">
        <v>1299</v>
      </c>
      <c r="E123" s="29" t="s">
        <v>1299</v>
      </c>
      <c r="F123" s="29" t="s">
        <v>473</v>
      </c>
      <c r="G123" s="29" t="s">
        <v>1288</v>
      </c>
      <c r="H123" s="29" t="s">
        <v>1286</v>
      </c>
      <c r="I123" s="29" t="s">
        <v>1291</v>
      </c>
      <c r="J123" s="29" t="s">
        <v>31</v>
      </c>
      <c r="K123" s="29" t="s">
        <v>1353</v>
      </c>
    </row>
    <row r="124" spans="1:11" ht="125" customHeight="1">
      <c r="A124" s="29" t="s">
        <v>1305</v>
      </c>
      <c r="B124" s="29" t="s">
        <v>485</v>
      </c>
      <c r="C124" s="29" t="s">
        <v>476</v>
      </c>
      <c r="D124" s="29" t="s">
        <v>1303</v>
      </c>
      <c r="E124" s="29" t="s">
        <v>1303</v>
      </c>
      <c r="F124" s="29" t="s">
        <v>476</v>
      </c>
      <c r="G124" s="29" t="s">
        <v>1288</v>
      </c>
      <c r="H124" s="29" t="s">
        <v>1286</v>
      </c>
      <c r="I124" s="29" t="s">
        <v>1291</v>
      </c>
      <c r="J124" s="29" t="s">
        <v>31</v>
      </c>
      <c r="K124" s="29" t="s">
        <v>1354</v>
      </c>
    </row>
    <row r="125" spans="1:11" ht="125" customHeight="1">
      <c r="A125" s="29" t="s">
        <v>1316</v>
      </c>
      <c r="B125" s="29" t="s">
        <v>483</v>
      </c>
      <c r="C125" s="29" t="s">
        <v>1307</v>
      </c>
      <c r="D125" s="29" t="s">
        <v>1308</v>
      </c>
      <c r="E125" s="29" t="s">
        <v>1308</v>
      </c>
      <c r="F125" s="29" t="s">
        <v>479</v>
      </c>
      <c r="G125" s="29" t="s">
        <v>1315</v>
      </c>
      <c r="H125" s="29" t="s">
        <v>1313</v>
      </c>
      <c r="I125" s="29" t="s">
        <v>1318</v>
      </c>
      <c r="J125" s="29" t="s">
        <v>31</v>
      </c>
      <c r="K125" s="29" t="s">
        <v>1355</v>
      </c>
    </row>
    <row r="126" spans="1:11" ht="125" customHeight="1">
      <c r="A126" s="29" t="s">
        <v>1323</v>
      </c>
      <c r="B126" s="29" t="s">
        <v>486</v>
      </c>
      <c r="C126" s="29" t="s">
        <v>1307</v>
      </c>
      <c r="D126" s="29" t="s">
        <v>1308</v>
      </c>
      <c r="E126" s="29" t="s">
        <v>1308</v>
      </c>
      <c r="F126" s="29" t="s">
        <v>479</v>
      </c>
      <c r="G126" s="29" t="s">
        <v>1315</v>
      </c>
      <c r="H126" s="29" t="s">
        <v>1313</v>
      </c>
      <c r="I126" s="29" t="s">
        <v>1318</v>
      </c>
      <c r="J126" s="29" t="s">
        <v>31</v>
      </c>
      <c r="K126" s="29" t="s">
        <v>1356</v>
      </c>
    </row>
    <row r="127" ht="140" customHeight="1">
      <c r="A127" s="29" t="inlineStr">
        <is>
          <t>INV7-109</t>
        </is>
      </c>
      <c r="B127" s="29" t="inlineStr">
        <is>
          <t>Maíz</t>
        </is>
      </c>
      <c r="C127" s="29" t="inlineStr">
        <is>
          <t>MAT</t>
        </is>
      </c>
      <c r="D127" s="29" t="inlineStr">
        <is>
          <t>Secado y cosecha después de R6</t>
        </is>
      </c>
      <c r="E127" s="29" t="inlineStr">
        <is>
          <t>Secado y cosecha después de R6</t>
        </is>
      </c>
      <c r="F127" s="29" t="inlineStr">
        <is>
          <t>MAT</t>
        </is>
      </c>
      <c r="G127" s="29" t="inlineStr">
        <is>
          <t>Parte terminal de MAT, después de R6. Indicador regional, no mínimo universal de daño. Tabla usa &gt;10 mm; resumen usa ≥10. Aplicar calendario local, no copiar octubre/noviembre.</t>
        </is>
      </c>
      <c r="H127" s="29" t="inlineStr">
        <is>
          <t>Ortega Gómez et al. (2019)</t>
        </is>
      </c>
      <c r="I127" s="29" t="inlineStr">
        <is>
          <t>Abrir paper</t>
        </is>
      </c>
      <c r="J127" s="29" t="inlineStr">
        <is>
          <t>Nueva correspondencia; pendiente de revisión humana</t>
        </is>
      </c>
      <c r="K127" s="29" t="inlineStr">
        <is>
          <t>Auditoría fila109</t>
        </is>
      </c>
    </row>
    <row r="128" ht="140" customHeight="1">
      <c r="A128" s="29" t="inlineStr">
        <is>
          <t>INV7-110</t>
        </is>
      </c>
      <c r="B128" s="29" t="inlineStr">
        <is>
          <t>Soya</t>
        </is>
      </c>
      <c r="C128" s="29" t="inlineStr">
        <is>
          <t>EST</t>
        </is>
      </c>
      <c r="D128" s="29" t="inlineStr">
        <is>
          <t>Emergencia y plántula; Fig.4: emergencia a 15 DAS</t>
        </is>
      </c>
      <c r="E128" s="29" t="inlineStr">
        <is>
          <t>Emergencia y plántula; Fig.4: emergencia a 15 DAS</t>
        </is>
      </c>
      <c r="F128" s="29" t="inlineStr">
        <is>
          <t>EST</t>
        </is>
      </c>
      <c r="G128" s="29" t="inlineStr">
        <is>
          <t>Riesgo de helada, no mortalidad automática. La fuente utiliza mínimas diarias DAYMET en EE.UU. La intensidad, duración y respuesta varietal afectan daño; validar sesgo local de ERA5-Land.</t>
        </is>
      </c>
      <c r="H128" s="29" t="inlineStr">
        <is>
          <t>Mourtzinis, Specht y Conley (2019)</t>
        </is>
      </c>
      <c r="I128" s="29" t="inlineStr">
        <is>
          <t>Abrir paper</t>
        </is>
      </c>
      <c r="J128" s="29" t="inlineStr">
        <is>
          <t>Nueva correspondencia; pendiente de revisión humana</t>
        </is>
      </c>
      <c r="K128" s="29" t="inlineStr">
        <is>
          <t>Auditoría fila110</t>
        </is>
      </c>
    </row>
    <row r="129" ht="140" customHeight="1">
      <c r="A129" s="29" t="inlineStr">
        <is>
          <t>INV7-111</t>
        </is>
      </c>
      <c r="B129" s="29" t="inlineStr">
        <is>
          <t>Soya</t>
        </is>
      </c>
      <c r="C129" s="29" t="inlineStr">
        <is>
          <t>VEG</t>
        </is>
      </c>
      <c r="D129" s="29" t="inlineStr">
        <is>
          <t>Cuatro hojas trifoliadas completamente expandidas (V4)</t>
        </is>
      </c>
      <c r="E129" s="29" t="inlineStr">
        <is>
          <t>Cuatro hojas trifoliadas completamente expandidas (V4)</t>
        </is>
      </c>
      <c r="F129" s="29" t="inlineStr">
        <is>
          <t>VEG</t>
        </is>
      </c>
      <c r="G129" s="29" t="inlineStr">
        <is>
          <t>Tratamiento de aire en V4, 09:00–13:00 durante7d. Su transferencia al campo es aproximada. ≥45 es filtro analítico, no corte estimado por el paper. Datos horarios aproximan permanencia; no garantizan 4h continuas.</t>
        </is>
      </c>
      <c r="H129" s="29" t="inlineStr">
        <is>
          <t>Herritt y Fritschi (2020)</t>
        </is>
      </c>
      <c r="I129" s="29" t="inlineStr">
        <is>
          <t>Abrir paper</t>
        </is>
      </c>
      <c r="J129" s="29" t="inlineStr">
        <is>
          <t>Nueva correspondencia; pendiente de revisión humana</t>
        </is>
      </c>
      <c r="K129" s="29" t="inlineStr">
        <is>
          <t>Auditoría fila111</t>
        </is>
      </c>
    </row>
    <row r="130" ht="140" customHeight="1">
      <c r="A130" s="29" t="inlineStr">
        <is>
          <t>INV7-112</t>
        </is>
      </c>
      <c r="B130" s="29" t="inlineStr">
        <is>
          <t>Soya</t>
        </is>
      </c>
      <c r="C130" s="29" t="inlineStr">
        <is>
          <t>REP</t>
        </is>
      </c>
      <c r="D130" s="29" t="inlineStr">
        <is>
          <t>Preantesis: tramo0.45–0.50GPL de ventana sensible0.45–0.70GPL</t>
        </is>
      </c>
      <c r="E130" s="29" t="inlineStr">
        <is>
          <t>Preantesis: tramo0.45–0.50GPL de ventana sensible0.45–0.70GPL</t>
        </is>
      </c>
      <c r="F130" s="29" t="inlineStr">
        <is>
          <t>REP</t>
        </is>
      </c>
      <c r="G130" s="29" t="inlineStr">
        <is>
          <t>Aceptada por criterio de ventana limítrofe. El paper NO define una regla independiente para formación de vainas/R3–R4. Asignar preantesis a REP es homologación propuesta y debe corroborarse; no extender a toda REP.</t>
        </is>
      </c>
      <c r="H130" s="29" t="inlineStr">
        <is>
          <t>Deryng et al. (2014)</t>
        </is>
      </c>
      <c r="I130" s="29" t="inlineStr">
        <is>
          <t>Abrir paper</t>
        </is>
      </c>
      <c r="J130" s="29" t="inlineStr">
        <is>
          <t>Nueva correspondencia; pendiente de revisión humana</t>
        </is>
      </c>
      <c r="K130" s="29" t="inlineStr">
        <is>
          <t>Auditoría fila112</t>
        </is>
      </c>
    </row>
    <row r="131" ht="140" customHeight="1">
      <c r="A131" s="29" t="inlineStr">
        <is>
          <t>INV7-113</t>
        </is>
      </c>
      <c r="B131" s="29" t="inlineStr">
        <is>
          <t>Soya</t>
        </is>
      </c>
      <c r="C131" s="29" t="inlineStr">
        <is>
          <t>FLO</t>
        </is>
      </c>
      <c r="D131" s="29" t="inlineStr">
        <is>
          <t>Antesis0.50GPL dentro de ventana sensible0.45–0.70GPL</t>
        </is>
      </c>
      <c r="E131" s="29" t="inlineStr">
        <is>
          <t>Antesis0.50GPL dentro de ventana sensible0.45–0.70GPL</t>
        </is>
      </c>
      <c r="F131" s="29" t="inlineStr">
        <is>
          <t>FLO</t>
        </is>
      </c>
      <c r="G131" s="29" t="inlineStr">
        <is>
          <t>Parámetros de PEGASUS, no corte universal observado en campo. Comparte fuente y ventana con REP. No aplicar35 °C directamente a Tmax ni Tmedia por separado.</t>
        </is>
      </c>
      <c r="H131" s="29" t="inlineStr">
        <is>
          <t>Deryng et al. (2014)</t>
        </is>
      </c>
      <c r="I131" s="29" t="inlineStr">
        <is>
          <t>Abrir paper</t>
        </is>
      </c>
      <c r="J131" s="29" t="inlineStr">
        <is>
          <t>Nueva correspondencia; pendiente de revisión humana</t>
        </is>
      </c>
      <c r="K131" s="29" t="inlineStr">
        <is>
          <t>Auditoría fila113</t>
        </is>
      </c>
    </row>
    <row r="132" ht="140" customHeight="1">
      <c r="A132" s="29" t="inlineStr">
        <is>
          <t>INV7-114</t>
        </is>
      </c>
      <c r="B132" s="29" t="inlineStr">
        <is>
          <t>Trigo</t>
        </is>
      </c>
      <c r="C132" s="29" t="inlineStr">
        <is>
          <t>EST</t>
        </is>
      </c>
      <c r="D132" s="29" t="inlineStr">
        <is>
          <t>Initial seedling stage; emergencia y vigor inicial</t>
        </is>
      </c>
      <c r="E132" s="29" t="inlineStr">
        <is>
          <t>Initial seedling stage; emergencia y vigor inicial</t>
        </is>
      </c>
      <c r="F132" s="29" t="inlineStr">
        <is>
          <t>EST</t>
        </is>
      </c>
      <c r="G132" s="29" t="inlineStr">
        <is>
          <t>El apartado cita evidencia fisiológica para retraso de emergencia/bajo vigor; no es nueva calibración de daño. Más de2d significa≥3d. No extrapolar a todo el crecimiento vegetativo.</t>
        </is>
      </c>
      <c r="H132" s="29" t="inlineStr">
        <is>
          <t>Le Roux et al. (2024)</t>
        </is>
      </c>
      <c r="I132" s="29" t="inlineStr">
        <is>
          <t>Abrir paper</t>
        </is>
      </c>
      <c r="J132" s="29" t="inlineStr">
        <is>
          <t>Nueva correspondencia; pendiente de revisión humana</t>
        </is>
      </c>
      <c r="K132" s="29" t="inlineStr">
        <is>
          <t>Auditoría fila114</t>
        </is>
      </c>
    </row>
    <row r="133" ht="140" customHeight="1">
      <c r="A133" s="29" t="inlineStr">
        <is>
          <t>INV7-115</t>
        </is>
      </c>
      <c r="B133" s="29" t="inlineStr">
        <is>
          <t>Trigo</t>
        </is>
      </c>
      <c r="C133" s="29" t="inlineStr">
        <is>
          <t>MAT</t>
        </is>
      </c>
      <c r="D133" s="29" t="inlineStr">
        <is>
          <t>Madurez de cosecha;55y56d después de antesis, ensayo2010</t>
        </is>
      </c>
      <c r="E133" s="29" t="inlineStr">
        <is>
          <t>Madurez de cosecha;55y56d después de antesis, ensayo2010</t>
        </is>
      </c>
      <c r="F133" s="29" t="inlineStr">
        <is>
          <t>MAT</t>
        </is>
      </c>
      <c r="G133" s="29" t="inlineStr">
        <is>
          <t>Efecto medido: longevidad de semilla, con posible recuperación. No hubo germinación precosecha.25mm no es mínimo universal de daño. Transferencia al campo y filtro≥ son decisiones analíticas.</t>
        </is>
      </c>
      <c r="H133" s="29" t="inlineStr">
        <is>
          <t>Ellis y Yadav (2016)</t>
        </is>
      </c>
      <c r="I133" s="29" t="inlineStr">
        <is>
          <t>Abrir paper</t>
        </is>
      </c>
      <c r="J133" s="29" t="inlineStr">
        <is>
          <t>Nueva correspondencia; pendiente de revisión humana</t>
        </is>
      </c>
      <c r="K133" s="29" t="inlineStr">
        <is>
          <t>Auditoría fila115</t>
        </is>
      </c>
    </row>
  </sheetData>
  <hyperlinks>
    <hyperlink ref="I23" r:id="rId1" xr:uid="{00000000-0004-0000-0100-000000000000}"/>
    <hyperlink ref="K23" location="'Auditoría web'!A68" display="Ver auditoría" xr:uid="{00000000-0004-0000-0100-000001000000}"/>
    <hyperlink ref="I24" r:id="rId2" xr:uid="{00000000-0004-0000-0100-000002000000}"/>
    <hyperlink ref="K24" location="'Auditoría web'!A69" display="Ver auditoría" xr:uid="{00000000-0004-0000-0100-000003000000}"/>
    <hyperlink ref="I25" r:id="rId3" xr:uid="{00000000-0004-0000-0100-000004000000}"/>
    <hyperlink ref="K25" location="'Auditoría web'!A72" display="Ver auditoría" xr:uid="{00000000-0004-0000-0100-000005000000}"/>
    <hyperlink ref="I26" r:id="rId4" xr:uid="{00000000-0004-0000-0100-000006000000}"/>
    <hyperlink ref="K26" location="'Auditoría web'!A73" display="Ver auditoría" xr:uid="{00000000-0004-0000-0100-000007000000}"/>
    <hyperlink ref="I27" r:id="rId5" xr:uid="{00000000-0004-0000-0100-000008000000}"/>
    <hyperlink ref="K27" location="'Auditoría web'!A74" display="Ver auditoría" xr:uid="{00000000-0004-0000-0100-000009000000}"/>
    <hyperlink ref="I28" r:id="rId6" xr:uid="{00000000-0004-0000-0100-00000A000000}"/>
    <hyperlink ref="K28" location="'Auditoría web'!A5" display="Ver auditoría" xr:uid="{00000000-0004-0000-0100-00000B000000}"/>
    <hyperlink ref="I29" r:id="rId7" xr:uid="{00000000-0004-0000-0100-00000C000000}"/>
    <hyperlink ref="K29" location="'Auditoría web'!A7" display="Ver auditoría" xr:uid="{00000000-0004-0000-0100-00000D000000}"/>
    <hyperlink ref="I30" r:id="rId8" xr:uid="{00000000-0004-0000-0100-00000E000000}"/>
    <hyperlink ref="K30" location="'Auditoría web'!A70" display="Ver auditoría" xr:uid="{00000000-0004-0000-0100-00000F000000}"/>
    <hyperlink ref="I31" r:id="rId9" xr:uid="{00000000-0004-0000-0100-000010000000}"/>
    <hyperlink ref="K31" location="'Auditoría web'!A71" display="Ver auditoría" xr:uid="{00000000-0004-0000-0100-000011000000}"/>
    <hyperlink ref="I32" r:id="rId10" xr:uid="{00000000-0004-0000-0100-000012000000}"/>
    <hyperlink ref="K32" location="'Auditoría web'!A6" display="Ver auditoría" xr:uid="{00000000-0004-0000-0100-000013000000}"/>
    <hyperlink ref="I33" r:id="rId11" xr:uid="{00000000-0004-0000-0100-000014000000}"/>
    <hyperlink ref="K33" location="'Auditoría web'!A8" display="Ver auditoría" xr:uid="{00000000-0004-0000-0100-000015000000}"/>
    <hyperlink ref="I34" r:id="rId12" xr:uid="{00000000-0004-0000-0100-000016000000}"/>
    <hyperlink ref="K34" location="'Auditoría web'!A9" display="Ver auditoría" xr:uid="{00000000-0004-0000-0100-000017000000}"/>
    <hyperlink ref="I35" r:id="rId13" xr:uid="{00000000-0004-0000-0100-000018000000}"/>
    <hyperlink ref="K35" location="'Auditoría web'!A67" display="Ver auditoría" xr:uid="{00000000-0004-0000-0100-000019000000}"/>
    <hyperlink ref="I36" r:id="rId14" xr:uid="{00000000-0004-0000-0100-00001A000000}"/>
    <hyperlink ref="K36" location="'Auditoría web'!A88" display="Ver auditoría" xr:uid="{00000000-0004-0000-0100-00001B000000}"/>
    <hyperlink ref="I37" r:id="rId15" xr:uid="{00000000-0004-0000-0100-00001C000000}"/>
    <hyperlink ref="K37" location="'Auditoría web'!A12" display="Ver auditoría" xr:uid="{00000000-0004-0000-0100-00001D000000}"/>
    <hyperlink ref="I38" r:id="rId16" xr:uid="{00000000-0004-0000-0100-00001E000000}"/>
    <hyperlink ref="K38" location="'Auditoría web'!A10" display="Ver auditoría" xr:uid="{00000000-0004-0000-0100-00001F000000}"/>
    <hyperlink ref="I39" r:id="rId17" xr:uid="{00000000-0004-0000-0100-000020000000}"/>
    <hyperlink ref="K39" location="'Auditoría web'!A11" display="Ver auditoría" xr:uid="{00000000-0004-0000-0100-000021000000}"/>
    <hyperlink ref="I40" r:id="rId18" xr:uid="{00000000-0004-0000-0100-000022000000}"/>
    <hyperlink ref="K40" location="'Auditoría web'!A13" display="Ver auditoría" xr:uid="{00000000-0004-0000-0100-000023000000}"/>
    <hyperlink ref="I41" r:id="rId19" xr:uid="{00000000-0004-0000-0100-000024000000}"/>
    <hyperlink ref="K41" location="'Auditoría web'!A14" display="Ver auditoría" xr:uid="{00000000-0004-0000-0100-000025000000}"/>
    <hyperlink ref="I42" r:id="rId20" xr:uid="{00000000-0004-0000-0100-000026000000}"/>
    <hyperlink ref="K42" location="'Auditoría web'!A15" display="Ver auditoría" xr:uid="{00000000-0004-0000-0100-000027000000}"/>
    <hyperlink ref="I43" r:id="rId21" xr:uid="{00000000-0004-0000-0100-000028000000}"/>
    <hyperlink ref="K43" location="'Auditoría web'!A18" display="Ver auditoría" xr:uid="{00000000-0004-0000-0100-000029000000}"/>
    <hyperlink ref="I44" r:id="rId22" xr:uid="{00000000-0004-0000-0100-00002A000000}"/>
    <hyperlink ref="K44" location="'Auditoría web'!A75" display="Ver auditoría" xr:uid="{00000000-0004-0000-0100-00002B000000}"/>
    <hyperlink ref="I45" r:id="rId23" xr:uid="{00000000-0004-0000-0100-00002C000000}"/>
    <hyperlink ref="K45" location="'Auditoría web'!A16" display="Ver auditoría" xr:uid="{00000000-0004-0000-0100-00002D000000}"/>
    <hyperlink ref="I46" r:id="rId24" xr:uid="{00000000-0004-0000-0100-00002E000000}"/>
    <hyperlink ref="K46" location="'Auditoría web'!A17" display="Ver auditoría" xr:uid="{00000000-0004-0000-0100-00002F000000}"/>
    <hyperlink ref="I47" r:id="rId25" xr:uid="{00000000-0004-0000-0100-000030000000}"/>
    <hyperlink ref="K47" location="'Auditoría web'!A19" display="Ver auditoría" xr:uid="{00000000-0004-0000-0100-000031000000}"/>
    <hyperlink ref="I48" r:id="rId26" xr:uid="{00000000-0004-0000-0100-000032000000}"/>
    <hyperlink ref="K48" location="'Auditoría web'!A20" display="Ver auditoría" xr:uid="{00000000-0004-0000-0100-000033000000}"/>
    <hyperlink ref="I49" r:id="rId27" xr:uid="{00000000-0004-0000-0100-000034000000}"/>
    <hyperlink ref="K49" location="'Auditoría web'!A21" display="Ver auditoría" xr:uid="{00000000-0004-0000-0100-000035000000}"/>
    <hyperlink ref="I50" r:id="rId28" xr:uid="{00000000-0004-0000-0100-000036000000}"/>
    <hyperlink ref="K50" location="'Auditoría web'!A23" display="Ver auditoría" xr:uid="{00000000-0004-0000-0100-000037000000}"/>
    <hyperlink ref="I51" r:id="rId29" xr:uid="{00000000-0004-0000-0100-000038000000}"/>
    <hyperlink ref="K51" location="'Auditoría web'!A22" display="Ver auditoría" xr:uid="{00000000-0004-0000-0100-000039000000}"/>
    <hyperlink ref="I52" r:id="rId30" xr:uid="{00000000-0004-0000-0100-00003A000000}"/>
    <hyperlink ref="K52" location="'Auditoría web'!A26" display="Ver auditoría" xr:uid="{00000000-0004-0000-0100-00003B000000}"/>
    <hyperlink ref="I53" r:id="rId31" xr:uid="{00000000-0004-0000-0100-00003C000000}"/>
    <hyperlink ref="K53" location="'Auditoría web'!A27" display="Ver auditoría" xr:uid="{00000000-0004-0000-0100-00003D000000}"/>
    <hyperlink ref="I54" r:id="rId32" xr:uid="{00000000-0004-0000-0100-00003E000000}"/>
    <hyperlink ref="K54" location="'Auditoría web'!A29" display="Ver auditoría" xr:uid="{00000000-0004-0000-0100-00003F000000}"/>
    <hyperlink ref="I55" r:id="rId33" xr:uid="{00000000-0004-0000-0100-000040000000}"/>
    <hyperlink ref="K55" location="'Auditoría web'!A24" display="Ver auditoría" xr:uid="{00000000-0004-0000-0100-000041000000}"/>
    <hyperlink ref="I56" r:id="rId34" xr:uid="{00000000-0004-0000-0100-000042000000}"/>
    <hyperlink ref="K56" location="'Auditoría web'!A28" display="Ver auditoría" xr:uid="{00000000-0004-0000-0100-000043000000}"/>
    <hyperlink ref="I57" r:id="rId35" xr:uid="{00000000-0004-0000-0100-000044000000}"/>
    <hyperlink ref="K57" location="'Auditoría web'!A25" display="Ver auditoría" xr:uid="{00000000-0004-0000-0100-000045000000}"/>
    <hyperlink ref="I58" r:id="rId36" xr:uid="{00000000-0004-0000-0100-000046000000}"/>
    <hyperlink ref="K58" location="'Auditoría web'!A30" display="Ver auditoría" xr:uid="{00000000-0004-0000-0100-000047000000}"/>
    <hyperlink ref="I59" r:id="rId37" xr:uid="{00000000-0004-0000-0100-000048000000}"/>
    <hyperlink ref="K59" location="'Auditoría web'!A31" display="Ver auditoría" xr:uid="{00000000-0004-0000-0100-000049000000}"/>
    <hyperlink ref="I60" r:id="rId38" xr:uid="{00000000-0004-0000-0100-00004A000000}"/>
    <hyperlink ref="K60" location="'Auditoría web'!A32" display="Ver auditoría" xr:uid="{00000000-0004-0000-0100-00004B000000}"/>
    <hyperlink ref="I61" r:id="rId39" xr:uid="{00000000-0004-0000-0100-00004C000000}"/>
    <hyperlink ref="K61" location="'Auditoría web'!A33" display="Ver auditoría" xr:uid="{00000000-0004-0000-0100-00004D000000}"/>
    <hyperlink ref="I62" r:id="rId40" xr:uid="{00000000-0004-0000-0100-00004E000000}"/>
    <hyperlink ref="K62" location="'Auditoría web'!A34" display="Ver auditoría" xr:uid="{00000000-0004-0000-0100-00004F000000}"/>
    <hyperlink ref="I63" r:id="rId41" xr:uid="{00000000-0004-0000-0100-000050000000}"/>
    <hyperlink ref="K63" location="'Auditoría web'!A76" display="Ver auditoría" xr:uid="{00000000-0004-0000-0100-000051000000}"/>
    <hyperlink ref="I64" r:id="rId42" xr:uid="{00000000-0004-0000-0100-000052000000}"/>
    <hyperlink ref="K64" location="'Auditoría web'!A35" display="Ver auditoría" xr:uid="{00000000-0004-0000-0100-000053000000}"/>
    <hyperlink ref="I65" r:id="rId43" xr:uid="{00000000-0004-0000-0100-000054000000}"/>
    <hyperlink ref="K65" location="'Auditoría web'!A36" display="Ver auditoría" xr:uid="{00000000-0004-0000-0100-000055000000}"/>
    <hyperlink ref="I66" r:id="rId44" xr:uid="{00000000-0004-0000-0100-000056000000}"/>
    <hyperlink ref="K66" location="'Auditoría web'!A77" display="Ver auditoría" xr:uid="{00000000-0004-0000-0100-000057000000}"/>
    <hyperlink ref="I67" r:id="rId45" xr:uid="{00000000-0004-0000-0100-000058000000}"/>
    <hyperlink ref="K67" location="'Auditoría web'!A87" display="Ver auditoría" xr:uid="{00000000-0004-0000-0100-000059000000}"/>
    <hyperlink ref="I68" r:id="rId46" xr:uid="{00000000-0004-0000-0100-00005A000000}"/>
    <hyperlink ref="K68" location="'Auditoría web'!A37" display="Ver auditoría" xr:uid="{00000000-0004-0000-0100-00005B000000}"/>
    <hyperlink ref="I69" r:id="rId47" xr:uid="{00000000-0004-0000-0100-00005C000000}"/>
    <hyperlink ref="K69" location="'Auditoría web'!A42" display="Ver auditoría" xr:uid="{00000000-0004-0000-0100-00005D000000}"/>
    <hyperlink ref="I70" r:id="rId48" xr:uid="{00000000-0004-0000-0100-00005E000000}"/>
    <hyperlink ref="K70" location="'Auditoría web'!A45" display="Ver auditoría" xr:uid="{00000000-0004-0000-0100-00005F000000}"/>
    <hyperlink ref="I71" r:id="rId49" xr:uid="{00000000-0004-0000-0100-000060000000}"/>
    <hyperlink ref="K71" location="'Auditoría web'!A78" display="Ver auditoría" xr:uid="{00000000-0004-0000-0100-000061000000}"/>
    <hyperlink ref="I72" r:id="rId50" xr:uid="{00000000-0004-0000-0100-000062000000}"/>
    <hyperlink ref="K72" location="'Auditoría web'!A43" display="Ver auditoría" xr:uid="{00000000-0004-0000-0100-000063000000}"/>
    <hyperlink ref="I73" r:id="rId51" xr:uid="{00000000-0004-0000-0100-000064000000}"/>
    <hyperlink ref="K73" location="'Auditoría web'!A44" display="Ver auditoría" xr:uid="{00000000-0004-0000-0100-000065000000}"/>
    <hyperlink ref="I74" r:id="rId52" xr:uid="{00000000-0004-0000-0100-000066000000}"/>
    <hyperlink ref="K74" location="'Auditoría web'!A46" display="Ver auditoría" xr:uid="{00000000-0004-0000-0100-000067000000}"/>
    <hyperlink ref="I75" r:id="rId53" xr:uid="{00000000-0004-0000-0100-000068000000}"/>
    <hyperlink ref="K75" location="'Auditoría web'!A47" display="Ver auditoría" xr:uid="{00000000-0004-0000-0100-000069000000}"/>
    <hyperlink ref="I76" r:id="rId54" xr:uid="{00000000-0004-0000-0100-00006A000000}"/>
    <hyperlink ref="K76" location="'Auditoría web'!A38" display="Ver auditoría" xr:uid="{00000000-0004-0000-0100-00006B000000}"/>
    <hyperlink ref="I77" r:id="rId55" xr:uid="{00000000-0004-0000-0100-00006C000000}"/>
    <hyperlink ref="K77" location="'Auditoría web'!A79" display="Ver auditoría" xr:uid="{00000000-0004-0000-0100-00006D000000}"/>
    <hyperlink ref="I78" r:id="rId56" xr:uid="{00000000-0004-0000-0100-00006E000000}"/>
    <hyperlink ref="K78" location="'Auditoría web'!A80" display="Ver auditoría" xr:uid="{00000000-0004-0000-0100-00006F000000}"/>
    <hyperlink ref="I79" r:id="rId57" xr:uid="{00000000-0004-0000-0100-000070000000}"/>
    <hyperlink ref="K79" location="'Auditoría web'!A86" display="Ver auditoría" xr:uid="{00000000-0004-0000-0100-000071000000}"/>
    <hyperlink ref="I80" r:id="rId58" xr:uid="{00000000-0004-0000-0100-000072000000}"/>
    <hyperlink ref="K80" location="'Auditoría web'!A39" display="Ver auditoría" xr:uid="{00000000-0004-0000-0100-000073000000}"/>
    <hyperlink ref="I81" r:id="rId59" xr:uid="{00000000-0004-0000-0100-000074000000}"/>
    <hyperlink ref="K81" location="'Auditoría web'!A40" display="Ver auditoría" xr:uid="{00000000-0004-0000-0100-000075000000}"/>
    <hyperlink ref="I82" r:id="rId60" xr:uid="{00000000-0004-0000-0100-000076000000}"/>
    <hyperlink ref="K82" location="'Auditoría web'!A41" display="Ver auditoría" xr:uid="{00000000-0004-0000-0100-000077000000}"/>
    <hyperlink ref="I83" r:id="rId61" xr:uid="{00000000-0004-0000-0100-000078000000}"/>
    <hyperlink ref="K83" location="'Auditoría web'!A48" display="Ver auditoría" xr:uid="{00000000-0004-0000-0100-000079000000}"/>
    <hyperlink ref="I84" r:id="rId62" xr:uid="{00000000-0004-0000-0100-00007A000000}"/>
    <hyperlink ref="K84" location="'Auditoría web'!A49" display="Ver auditoría" xr:uid="{00000000-0004-0000-0100-00007B000000}"/>
    <hyperlink ref="I85" r:id="rId63" xr:uid="{00000000-0004-0000-0100-00007C000000}"/>
    <hyperlink ref="K85" location="'Auditoría web'!A51" display="Ver auditoría" xr:uid="{00000000-0004-0000-0100-00007D000000}"/>
    <hyperlink ref="I86" r:id="rId64" xr:uid="{00000000-0004-0000-0100-00007E000000}"/>
    <hyperlink ref="K86" location="'Auditoría web'!A52" display="Ver auditoría" xr:uid="{00000000-0004-0000-0100-00007F000000}"/>
    <hyperlink ref="I87" r:id="rId65" xr:uid="{00000000-0004-0000-0100-000080000000}"/>
    <hyperlink ref="K87" location="'Auditoría web'!A50" display="Ver auditoría" xr:uid="{00000000-0004-0000-0100-000081000000}"/>
    <hyperlink ref="I88" r:id="rId66" xr:uid="{00000000-0004-0000-0100-000082000000}"/>
    <hyperlink ref="K88" location="'Auditoría web'!A81" display="Ver auditoría" xr:uid="{00000000-0004-0000-0100-000083000000}"/>
    <hyperlink ref="I89" r:id="rId67" xr:uid="{00000000-0004-0000-0100-000084000000}"/>
    <hyperlink ref="K89" location="'Auditoría web'!A53" display="Ver auditoría" xr:uid="{00000000-0004-0000-0100-000085000000}"/>
    <hyperlink ref="I90" r:id="rId68" xr:uid="{00000000-0004-0000-0100-000086000000}"/>
    <hyperlink ref="K90" location="'Auditoría web'!A54" display="Ver auditoría" xr:uid="{00000000-0004-0000-0100-000087000000}"/>
    <hyperlink ref="I91" r:id="rId69" xr:uid="{00000000-0004-0000-0100-000088000000}"/>
    <hyperlink ref="K91" location="'Auditoría web'!A82" display="Ver auditoría" xr:uid="{00000000-0004-0000-0100-000089000000}"/>
    <hyperlink ref="I92" r:id="rId70" xr:uid="{00000000-0004-0000-0100-00008A000000}"/>
    <hyperlink ref="K92" location="'Auditoría web'!A83" display="Ver auditoría" xr:uid="{00000000-0004-0000-0100-00008B000000}"/>
    <hyperlink ref="I93" r:id="rId71" xr:uid="{00000000-0004-0000-0100-00008C000000}"/>
    <hyperlink ref="K93" location="'Auditoría web'!A55" display="Ver auditoría" xr:uid="{00000000-0004-0000-0100-00008D000000}"/>
    <hyperlink ref="I94" r:id="rId72" xr:uid="{00000000-0004-0000-0100-00008E000000}"/>
    <hyperlink ref="K94" location="'Auditoría web'!A56" display="Ver auditoría" xr:uid="{00000000-0004-0000-0100-00008F000000}"/>
    <hyperlink ref="I95" r:id="rId73" xr:uid="{00000000-0004-0000-0100-000090000000}"/>
    <hyperlink ref="K95" location="'Auditoría web'!A84" display="Ver auditoría" xr:uid="{00000000-0004-0000-0100-000091000000}"/>
    <hyperlink ref="I96" r:id="rId74" xr:uid="{00000000-0004-0000-0100-000092000000}"/>
    <hyperlink ref="K96" location="'Auditoría web'!A85" display="Ver auditoría" xr:uid="{00000000-0004-0000-0100-000093000000}"/>
    <hyperlink ref="I97" r:id="rId75" xr:uid="{00000000-0004-0000-0100-000094000000}"/>
    <hyperlink ref="K97" location="'Auditoría web'!A58" display="Ver auditoría" xr:uid="{00000000-0004-0000-0100-000095000000}"/>
    <hyperlink ref="I98" r:id="rId76" xr:uid="{00000000-0004-0000-0100-000096000000}"/>
    <hyperlink ref="K98" location="'Auditoría web'!A57" display="Ver auditoría" xr:uid="{00000000-0004-0000-0100-000097000000}"/>
    <hyperlink ref="I99" r:id="rId77" xr:uid="{00000000-0004-0000-0100-000098000000}"/>
    <hyperlink ref="K99" location="'Auditoría web'!A59" display="Ver auditoría" xr:uid="{00000000-0004-0000-0100-000099000000}"/>
    <hyperlink ref="I100" r:id="rId78" xr:uid="{00000000-0004-0000-0100-00009A000000}"/>
    <hyperlink ref="K100" location="'Auditoría web'!A60" display="Ver auditoría" xr:uid="{00000000-0004-0000-0100-00009B000000}"/>
    <hyperlink ref="I101" r:id="rId79" xr:uid="{00000000-0004-0000-0100-00009C000000}"/>
    <hyperlink ref="K101" location="'Auditoría web'!A61" display="Ver auditoría" xr:uid="{00000000-0004-0000-0100-00009D000000}"/>
    <hyperlink ref="I102" r:id="rId80" xr:uid="{00000000-0004-0000-0100-00009E000000}"/>
    <hyperlink ref="K102" location="'Auditoría web'!A63" display="Ver auditoría" xr:uid="{00000000-0004-0000-0100-00009F000000}"/>
    <hyperlink ref="I103" r:id="rId81" xr:uid="{00000000-0004-0000-0100-0000A0000000}"/>
    <hyperlink ref="K103" location="'Auditoría web'!A62" display="Ver auditoría" xr:uid="{00000000-0004-0000-0100-0000A1000000}"/>
    <hyperlink ref="I104" r:id="rId82" xr:uid="{00000000-0004-0000-0100-0000A2000000}"/>
    <hyperlink ref="K104" location="'Auditoría web'!A64" display="Ver auditoría" xr:uid="{00000000-0004-0000-0100-0000A3000000}"/>
    <hyperlink ref="I105" r:id="rId83" xr:uid="{00000000-0004-0000-0100-0000A4000000}"/>
    <hyperlink ref="K105" location="'Auditoría web'!A65" display="Ver auditoría" xr:uid="{00000000-0004-0000-0100-0000A5000000}"/>
    <hyperlink ref="I106" r:id="rId84" xr:uid="{00000000-0004-0000-0100-0000A6000000}"/>
    <hyperlink ref="K106" location="'Auditoría web'!A66" display="Ver auditoría" xr:uid="{00000000-0004-0000-0100-0000A7000000}"/>
    <hyperlink ref="I107" r:id="rId85" xr:uid="{00000000-0004-0000-0200-0000A8000000}"/>
    <hyperlink ref="K107" location="'Auditoría web'!A89" display="Auditoría fila 89" xr:uid="{00000000-0004-0000-0200-0000A9000000}"/>
    <hyperlink ref="I108" r:id="rId86" xr:uid="{00000000-0004-0000-0200-0000AA000000}"/>
    <hyperlink ref="K108" location="'Auditoría web'!A90" display="Auditoría fila 90" xr:uid="{00000000-0004-0000-0200-0000AB000000}"/>
    <hyperlink ref="I109" r:id="rId87" xr:uid="{00000000-0004-0000-0200-0000AC000000}"/>
    <hyperlink ref="K109" location="'Auditoría web'!A91" display="Auditoría fila 91" xr:uid="{00000000-0004-0000-0200-0000AD000000}"/>
    <hyperlink ref="I110" r:id="rId88" xr:uid="{00000000-0004-0000-0200-0000AE000000}"/>
    <hyperlink ref="K110" location="'Auditoría web'!A92" display="Auditoría fila 92" xr:uid="{00000000-0004-0000-0200-0000AF000000}"/>
    <hyperlink ref="I111" r:id="rId89" xr:uid="{00000000-0004-0000-0200-0000B0000000}"/>
    <hyperlink ref="K111" location="'Auditoría web'!A93" display="Auditoría fila 93" xr:uid="{00000000-0004-0000-0200-0000B1000000}"/>
    <hyperlink ref="I112" r:id="rId90" xr:uid="{00000000-0004-0000-0200-0000B2000000}"/>
    <hyperlink ref="K112" location="'Auditoría web'!A94" display="Auditoría fila 94" xr:uid="{00000000-0004-0000-0200-0000B3000000}"/>
    <hyperlink ref="I113" r:id="rId91" xr:uid="{00000000-0004-0000-0200-0000B4000000}"/>
    <hyperlink ref="K113" location="'Auditoría web'!A95" display="Auditoría fila 95" xr:uid="{00000000-0004-0000-0200-0000B5000000}"/>
    <hyperlink ref="I114" r:id="rId92" xr:uid="{00000000-0004-0000-0200-0000B6000000}"/>
    <hyperlink ref="K114" location="'Auditoría web'!A96" display="Auditoría fila 96" xr:uid="{00000000-0004-0000-0200-0000B7000000}"/>
    <hyperlink ref="I115" r:id="rId93" xr:uid="{00000000-0004-0000-0200-0000B8000000}"/>
    <hyperlink ref="K115" location="'Auditoría web'!A97" display="Auditoría fila 97" xr:uid="{00000000-0004-0000-0200-0000B9000000}"/>
    <hyperlink ref="I116" r:id="rId94" xr:uid="{00000000-0004-0000-0200-0000BA000000}"/>
    <hyperlink ref="K116" location="'Auditoría web'!A98" display="Auditoría fila 98" xr:uid="{00000000-0004-0000-0200-0000BB000000}"/>
    <hyperlink ref="I117" r:id="rId95" xr:uid="{00000000-0004-0000-0200-0000BC000000}"/>
    <hyperlink ref="K117" location="'Auditoría web'!A99" display="Auditoría fila 99" xr:uid="{00000000-0004-0000-0200-0000BD000000}"/>
    <hyperlink ref="I118" r:id="rId96" xr:uid="{00000000-0004-0000-0200-0000BE000000}"/>
    <hyperlink ref="K118" location="'Auditoría web'!A100" display="Auditoría fila 100" xr:uid="{00000000-0004-0000-0200-0000BF000000}"/>
    <hyperlink ref="I119" r:id="rId97" xr:uid="{00000000-0004-0000-0200-0000C0000000}"/>
    <hyperlink ref="K119" location="'Auditoría web'!A101" display="Auditoría fila 101" xr:uid="{00000000-0004-0000-0200-0000C1000000}"/>
    <hyperlink ref="I120" r:id="rId98" xr:uid="{00000000-0004-0000-0200-0000C2000000}"/>
    <hyperlink ref="K120" location="'Auditoría web'!A102" display="Auditoría fila 102" xr:uid="{00000000-0004-0000-0200-0000C3000000}"/>
    <hyperlink ref="I121" r:id="rId99" xr:uid="{00000000-0004-0000-0200-0000C4000000}"/>
    <hyperlink ref="K121" location="'Auditoría web'!A103" display="Auditoría fila 103" xr:uid="{00000000-0004-0000-0200-0000C5000000}"/>
    <hyperlink ref="I122" r:id="rId100" xr:uid="{00000000-0004-0000-0200-0000C6000000}"/>
    <hyperlink ref="K122" location="'Auditoría web'!A104" display="Auditoría fila 104" xr:uid="{00000000-0004-0000-0200-0000C7000000}"/>
    <hyperlink ref="I123" r:id="rId101" xr:uid="{00000000-0004-0000-0200-0000C8000000}"/>
    <hyperlink ref="K123" location="'Auditoría web'!A105" display="Auditoría fila 105" xr:uid="{00000000-0004-0000-0200-0000C9000000}"/>
    <hyperlink ref="I124" r:id="rId102" xr:uid="{00000000-0004-0000-0200-0000CA000000}"/>
    <hyperlink ref="K124" location="'Auditoría web'!A106" display="Auditoría fila 106" xr:uid="{00000000-0004-0000-0200-0000CB000000}"/>
    <hyperlink ref="I125" r:id="rId103" xr:uid="{00000000-0004-0000-0200-0000CC000000}"/>
    <hyperlink ref="K125" location="'Auditoría web'!A107" display="Auditoría fila 107" xr:uid="{00000000-0004-0000-0200-0000CD000000}"/>
    <hyperlink ref="I126" r:id="rId104" xr:uid="{00000000-0004-0000-0200-0000CE000000}"/>
    <hyperlink ref="K126" location="'Auditoría web'!A108" display="Auditoría fila 108" xr:uid="{00000000-0004-0000-0200-0000CF000000}"/>
    <hyperlink ref="I127" r:id="rId106"/>
    <hyperlink ref="K127" location="'Auditoría web'!AB109"/>
    <hyperlink ref="I128" r:id="rId107"/>
    <hyperlink ref="K128" location="'Auditoría web'!AB110"/>
    <hyperlink ref="I129" r:id="rId108"/>
    <hyperlink ref="K129" location="'Auditoría web'!AB111"/>
    <hyperlink ref="I130" r:id="rId109"/>
    <hyperlink ref="K130" location="'Auditoría web'!AB112"/>
    <hyperlink ref="I131" r:id="rId110"/>
    <hyperlink ref="K131" location="'Auditoría web'!AB113"/>
    <hyperlink ref="I132" r:id="rId111"/>
    <hyperlink ref="K132" location="'Auditoría web'!AB114"/>
    <hyperlink ref="I133" r:id="rId112"/>
    <hyperlink ref="K133" location="'Auditoría web'!AB115"/>
  </hyperlinks>
  <pageMargins left="0.7" right="0.7" top="0.75" bottom="0.75" header="0.3" footer="0.3"/>
  <tableParts count="1">
    <tablePart r:id="rId10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BCE11-9A1E-40D3-962B-6CC5D2E71F9A}">
  <dimension ref="A1:K62"/>
  <sheetViews>
    <sheetView showGridLines="0" topLeftCell="E1" zoomScale="69" workbookViewId="0">
      <selection sqref="A1:Q1"/>
    </sheetView>
  </sheetViews>
  <sheetFormatPr baseColWidth="10" defaultColWidth="8.6640625" defaultRowHeight="14"/>
  <cols>
    <col min="1" max="1" width="34" customWidth="1"/>
    <col min="2" max="2" width="12" customWidth="1"/>
    <col min="3" max="3" width="25" customWidth="1"/>
    <col min="4" max="4" width="24" customWidth="1"/>
    <col min="5" max="5" width="44" customWidth="1"/>
    <col min="6" max="6" width="11" customWidth="1"/>
    <col min="7" max="7" width="75" customWidth="1"/>
    <col min="8" max="8" width="18" customWidth="1"/>
    <col min="9" max="9" width="20" customWidth="1"/>
    <col min="10" max="10" width="31" customWidth="1"/>
    <col min="11" max="11" width="46" customWidth="1"/>
  </cols>
  <sheetData>
    <row r="1" spans="1:11" ht="30" customHeight="1">
      <c r="A1" s="48" t="s">
        <v>941</v>
      </c>
      <c r="B1" s="48"/>
      <c r="C1" s="48"/>
      <c r="D1" s="48"/>
      <c r="E1" s="48"/>
      <c r="F1" s="48"/>
      <c r="G1" s="48"/>
      <c r="H1" s="48"/>
      <c r="I1" s="48"/>
      <c r="J1" s="48"/>
      <c r="K1" s="48"/>
    </row>
    <row r="3" spans="1:11" ht="40" customHeight="1">
      <c r="A3" s="1" t="s">
        <v>15</v>
      </c>
      <c r="B3" s="1" t="s">
        <v>1</v>
      </c>
      <c r="C3" s="1" t="s">
        <v>4</v>
      </c>
      <c r="D3" s="1" t="s">
        <v>9</v>
      </c>
      <c r="E3" s="1" t="s">
        <v>456</v>
      </c>
      <c r="F3" s="1" t="s">
        <v>457</v>
      </c>
      <c r="G3" s="1" t="s">
        <v>458</v>
      </c>
      <c r="H3" s="1" t="s">
        <v>13</v>
      </c>
      <c r="I3" s="1" t="s">
        <v>14</v>
      </c>
      <c r="J3" s="1" t="s">
        <v>459</v>
      </c>
      <c r="K3" s="1" t="s">
        <v>460</v>
      </c>
    </row>
    <row r="4" spans="1:11" ht="92" customHeight="1">
      <c r="A4" s="4" t="s">
        <v>30</v>
      </c>
      <c r="B4" s="4" t="s">
        <v>483</v>
      </c>
      <c r="C4" s="4" t="s">
        <v>22</v>
      </c>
      <c r="D4" s="4" t="s">
        <v>27</v>
      </c>
      <c r="E4" s="4" t="s">
        <v>23</v>
      </c>
      <c r="F4" s="4">
        <v>4</v>
      </c>
      <c r="G4" s="4" t="s">
        <v>28</v>
      </c>
      <c r="H4" s="6" t="str">
        <f>HYPERLINK("file:///C:/Users/paola/Tesis/04_Bibliography/01_FenologÃ­a%20y%20umbrales/Otros%20de%20fenologÃ­a/54_PMC12928403.pdf","Abrir PDF local")</f>
        <v>Abrir PDF local</v>
      </c>
      <c r="I4" s="6" t="str">
        <f>HYPERLINK("https://doi.org/10.1371/journal.pone.0340773","Abrir fuente en línea")</f>
        <v>Abrir fuente en línea</v>
      </c>
      <c r="J4" s="4" t="s">
        <v>24</v>
      </c>
      <c r="K4" s="4" t="s">
        <v>29</v>
      </c>
    </row>
    <row r="5" spans="1:11" ht="92" customHeight="1">
      <c r="A5" s="4" t="s">
        <v>45</v>
      </c>
      <c r="B5" s="4" t="s">
        <v>483</v>
      </c>
      <c r="C5" s="4" t="s">
        <v>37</v>
      </c>
      <c r="D5" s="4" t="s">
        <v>42</v>
      </c>
      <c r="E5" s="4" t="s">
        <v>38</v>
      </c>
      <c r="F5" s="4">
        <v>1</v>
      </c>
      <c r="G5" s="4" t="s">
        <v>43</v>
      </c>
      <c r="H5" s="6" t="str">
        <f>HYPERLINK("file:///C:/Users/paola/Tesis/04_Bibliography/01_FenologÃ­a%20y%20umbrales/Otros%20de%20fenologÃ­a/55_PMC5854116.pdf","Abrir PDF local")</f>
        <v>Abrir PDF local</v>
      </c>
      <c r="I5" s="6" t="str">
        <f>HYPERLINK("https://doi.org/10.1093/jxb/erx381","Abrir fuente en línea")</f>
        <v>Abrir fuente en línea</v>
      </c>
      <c r="J5" s="4" t="s">
        <v>39</v>
      </c>
      <c r="K5" s="4" t="s">
        <v>44</v>
      </c>
    </row>
    <row r="6" spans="1:11" ht="92" customHeight="1">
      <c r="A6" s="4" t="s">
        <v>59</v>
      </c>
      <c r="B6" s="4" t="s">
        <v>483</v>
      </c>
      <c r="C6" s="4" t="s">
        <v>51</v>
      </c>
      <c r="D6" s="4" t="s">
        <v>56</v>
      </c>
      <c r="E6" s="4" t="s">
        <v>52</v>
      </c>
      <c r="F6" s="4">
        <v>1</v>
      </c>
      <c r="G6" s="4" t="s">
        <v>57</v>
      </c>
      <c r="H6" s="6" t="str">
        <f>HYPERLINK("file:///C:/Users/paola/Tesis/04_Bibliography/01_FenologÃ­a%20y%20umbrales/Otros%20de%20fenologÃ­a/56_PMC6405865.pdf","Abrir PDF local")</f>
        <v>Abrir PDF local</v>
      </c>
      <c r="I6" s="6" t="str">
        <f>HYPERLINK("https://europepmc.org/articles/PMC6405865","Abrir fuente en línea")</f>
        <v>Abrir fuente en línea</v>
      </c>
      <c r="J6" s="4" t="s">
        <v>53</v>
      </c>
      <c r="K6" s="4" t="s">
        <v>58</v>
      </c>
    </row>
    <row r="7" spans="1:11" ht="92" customHeight="1">
      <c r="A7" s="4" t="s">
        <v>72</v>
      </c>
      <c r="B7" s="4" t="s">
        <v>483</v>
      </c>
      <c r="C7" s="4" t="s">
        <v>64</v>
      </c>
      <c r="D7" s="4" t="s">
        <v>69</v>
      </c>
      <c r="E7" s="4" t="s">
        <v>65</v>
      </c>
      <c r="F7" s="4">
        <v>1</v>
      </c>
      <c r="G7" s="4" t="s">
        <v>70</v>
      </c>
      <c r="H7" s="6" t="str">
        <f>HYPERLINK("file:///C:/Users/paola/Tesis/04_Bibliography/01_Fenología%20y%20umbrales/03_MULTI_CALOR_MULTI_From_the_floret_to_the_canopy_High_temperature_toleranc.pdf","Abrir PDF local")</f>
        <v>Abrir PDF local</v>
      </c>
      <c r="I7" s="6" t="str">
        <f>HYPERLINK("https://doi.org/10.1016/j.xplc.2023.100629","Abrir fuente en línea")</f>
        <v>Abrir fuente en línea</v>
      </c>
      <c r="J7" s="4" t="s">
        <v>66</v>
      </c>
      <c r="K7" s="4" t="s">
        <v>71</v>
      </c>
    </row>
    <row r="8" spans="1:11" ht="92" customHeight="1">
      <c r="A8" s="4" t="s">
        <v>82</v>
      </c>
      <c r="B8" s="4" t="s">
        <v>483</v>
      </c>
      <c r="C8" s="4" t="s">
        <v>76</v>
      </c>
      <c r="D8" s="4" t="s">
        <v>69</v>
      </c>
      <c r="E8" s="4" t="s">
        <v>461</v>
      </c>
      <c r="F8" s="4">
        <v>2</v>
      </c>
      <c r="G8" s="4" t="s">
        <v>80</v>
      </c>
      <c r="H8" s="6" t="str">
        <f>HYPERLINK("file:///C:/Users/paola/Tesis/04_Bibliography/01_Fenología%20y%20umbrales/03_MULTI_CALOR_MULTI_From_the_floret_to_the_canopy_High_temperature_toleranc.pdf","Abrir PDF local")</f>
        <v>Abrir PDF local</v>
      </c>
      <c r="I8" s="6" t="str">
        <f>HYPERLINK("https://doi.org/10.1016/j.xplc.2023.100629","Abrir fuente en línea")</f>
        <v>Abrir fuente en línea</v>
      </c>
      <c r="J8" s="4" t="s">
        <v>216</v>
      </c>
      <c r="K8" s="4" t="s">
        <v>81</v>
      </c>
    </row>
    <row r="9" spans="1:11" ht="92" customHeight="1">
      <c r="A9" s="4" t="s">
        <v>93</v>
      </c>
      <c r="B9" s="4" t="s">
        <v>483</v>
      </c>
      <c r="C9" s="4" t="s">
        <v>86</v>
      </c>
      <c r="D9" s="4" t="s">
        <v>90</v>
      </c>
      <c r="E9" s="4" t="s">
        <v>87</v>
      </c>
      <c r="F9" s="4">
        <v>3</v>
      </c>
      <c r="G9" s="4" t="s">
        <v>91</v>
      </c>
      <c r="H9" s="6" t="str">
        <f>HYPERLINK("file:///C:/Users/paola/Tesis/04_Bibliography/01_FenologÃ­a%20y%20umbrales/Otros%20de%20fenologÃ­a/59_PMC11782181.pdf","Abrir PDF local")</f>
        <v>Abrir PDF local</v>
      </c>
      <c r="I9" s="6" t="str">
        <f>HYPERLINK("https://europepmc.org/articles/PMC11782181","Abrir fuente en línea")</f>
        <v>Abrir fuente en línea</v>
      </c>
      <c r="J9" s="4" t="s">
        <v>53</v>
      </c>
      <c r="K9" s="4" t="s">
        <v>92</v>
      </c>
    </row>
    <row r="10" spans="1:11" ht="92" customHeight="1">
      <c r="A10" s="4" t="s">
        <v>109</v>
      </c>
      <c r="B10" s="4" t="s">
        <v>483</v>
      </c>
      <c r="C10" s="4" t="s">
        <v>102</v>
      </c>
      <c r="D10" s="4" t="s">
        <v>106</v>
      </c>
      <c r="E10" s="4" t="s">
        <v>103</v>
      </c>
      <c r="F10" s="4">
        <v>5</v>
      </c>
      <c r="G10" s="4" t="s">
        <v>107</v>
      </c>
      <c r="H10" s="6" t="str">
        <f>HYPERLINK("file:///C:/Users/paola/Documents/Codex/2026-07-19/nece/outputs/papers_evidencia/MZ_F3_Zhang_2023_heat_grain_filling.pdf","Abrir PDF local")</f>
        <v>Abrir PDF local</v>
      </c>
      <c r="I10" s="6" t="str">
        <f>HYPERLINK("https://doi.org/10.3390/agronomy13082126","Abrir fuente en línea")</f>
        <v>Abrir fuente en línea</v>
      </c>
      <c r="J10" s="4" t="s">
        <v>53</v>
      </c>
      <c r="K10" s="4" t="s">
        <v>108</v>
      </c>
    </row>
    <row r="11" spans="1:11" ht="92" customHeight="1">
      <c r="A11" s="4" t="s">
        <v>120</v>
      </c>
      <c r="B11" s="4" t="s">
        <v>483</v>
      </c>
      <c r="C11" s="4" t="s">
        <v>112</v>
      </c>
      <c r="D11" s="4" t="s">
        <v>117</v>
      </c>
      <c r="E11" s="4" t="s">
        <v>113</v>
      </c>
      <c r="F11" s="4">
        <v>1</v>
      </c>
      <c r="G11" s="4" t="s">
        <v>118</v>
      </c>
      <c r="H11" s="6" t="str">
        <f>HYPERLINK("file:///C:/Users/paola/Tesis/04_Bibliography/01_Fenología%20y%20umbrales/Otros%20de%20fenología/37_MAIZ_CALOR_NOCTURNO_LLENADO_Wang_2026.pdf","Abrir PDF local")</f>
        <v>Abrir PDF local</v>
      </c>
      <c r="I11" s="6" t="str">
        <f>HYPERLINK("https://doi.org/10.3389/fpls.2026.1826388","Abrir fuente en línea")</f>
        <v>Abrir fuente en línea</v>
      </c>
      <c r="J11" s="4" t="s">
        <v>114</v>
      </c>
      <c r="K11" s="4" t="s">
        <v>119</v>
      </c>
    </row>
    <row r="12" spans="1:11" ht="92" customHeight="1">
      <c r="A12" s="4" t="s">
        <v>133</v>
      </c>
      <c r="B12" s="4" t="s">
        <v>483</v>
      </c>
      <c r="C12" s="4" t="s">
        <v>125</v>
      </c>
      <c r="D12" s="4" t="s">
        <v>130</v>
      </c>
      <c r="E12" s="4" t="s">
        <v>126</v>
      </c>
      <c r="F12" s="4">
        <v>7</v>
      </c>
      <c r="G12" s="4" t="s">
        <v>131</v>
      </c>
      <c r="H12" s="6" t="str">
        <f>HYPERLINK("file:///C:/Users/paola/Tesis/04_Bibliography/01_FenologÃ­a%20y%20umbrales/Otros%20de%20fenologÃ­a/61_PMC7641793.pdf","Abrir PDF local")</f>
        <v>Abrir PDF local</v>
      </c>
      <c r="I12" s="6" t="str">
        <f>HYPERLINK("https://europepmc.org/articles/PMC7641793","Abrir fuente en línea")</f>
        <v>Abrir fuente en línea</v>
      </c>
      <c r="J12" s="4" t="s">
        <v>127</v>
      </c>
      <c r="K12" s="4" t="s">
        <v>132</v>
      </c>
    </row>
    <row r="13" spans="1:11" ht="92" customHeight="1">
      <c r="A13" s="4" t="s">
        <v>145</v>
      </c>
      <c r="B13" s="4" t="s">
        <v>484</v>
      </c>
      <c r="C13" s="4" t="s">
        <v>138</v>
      </c>
      <c r="D13" s="4" t="s">
        <v>142</v>
      </c>
      <c r="E13" s="4" t="s">
        <v>139</v>
      </c>
      <c r="F13" s="4">
        <v>3</v>
      </c>
      <c r="G13" s="4" t="s">
        <v>143</v>
      </c>
      <c r="H13" s="6" t="str">
        <f>HYPERLINK("file:///C:/Users/paola/Tesis/04_Bibliography/01_FenologÃ­a%20y%20umbrales/Otros%20de%20fenologÃ­a/46_PMC9496009.pdf","Abrir PDF local")</f>
        <v>Abrir PDF local</v>
      </c>
      <c r="I13" s="6" t="str">
        <f>HYPERLINK("https://europepmc.org/articles/PMC9496009","Abrir fuente en línea")</f>
        <v>Abrir fuente en línea</v>
      </c>
      <c r="J13" s="4" t="s">
        <v>53</v>
      </c>
      <c r="K13" s="4" t="s">
        <v>144</v>
      </c>
    </row>
    <row r="14" spans="1:11" ht="92" customHeight="1">
      <c r="A14" s="4" t="s">
        <v>158</v>
      </c>
      <c r="B14" s="4" t="s">
        <v>484</v>
      </c>
      <c r="C14" s="4" t="s">
        <v>150</v>
      </c>
      <c r="D14" s="4" t="s">
        <v>155</v>
      </c>
      <c r="E14" s="4" t="s">
        <v>151</v>
      </c>
      <c r="F14" s="4">
        <v>4</v>
      </c>
      <c r="G14" s="4" t="s">
        <v>156</v>
      </c>
      <c r="H14" s="6" t="str">
        <f>HYPERLINK("file:///C:/Users/paola/Tesis/04_Bibliography/01_Fenología%20y%20umbrales/Otros%20de%20fenología/30_ARROZ_INUNDACION_SUB1_BaileySerres_2010.pdf","Abrir PDF local")</f>
        <v>Abrir PDF local</v>
      </c>
      <c r="I14" s="6" t="str">
        <f>HYPERLINK("https://doi.org/10.1007/s00425-010-1198-z","Abrir fuente en línea")</f>
        <v>Abrir fuente en línea</v>
      </c>
      <c r="J14" s="4" t="s">
        <v>152</v>
      </c>
      <c r="K14" s="4" t="s">
        <v>157</v>
      </c>
    </row>
    <row r="15" spans="1:11" ht="92" customHeight="1">
      <c r="A15" s="4" t="s">
        <v>174</v>
      </c>
      <c r="B15" s="4" t="s">
        <v>484</v>
      </c>
      <c r="C15" s="4" t="s">
        <v>102</v>
      </c>
      <c r="D15" s="4" t="s">
        <v>171</v>
      </c>
      <c r="E15" s="4" t="s">
        <v>167</v>
      </c>
      <c r="F15" s="4">
        <v>4</v>
      </c>
      <c r="G15" s="4" t="s">
        <v>172</v>
      </c>
      <c r="H15" s="6" t="str">
        <f>HYPERLINK("file:///C:/Users/paola/Tesis/04_Bibliography/01_Fenología%20y%20umbrales/08_ARROZ_MULTI_MULTI_esd_16_1971_2025.pdf","Abrir PDF local")</f>
        <v>Abrir PDF local</v>
      </c>
      <c r="I15" s="6" t="str">
        <f>HYPERLINK("https://doi.org/10.5194/esd-16-1971-2025","Abrir fuente en línea")</f>
        <v>Abrir fuente en línea</v>
      </c>
      <c r="J15" s="4" t="s">
        <v>168</v>
      </c>
      <c r="K15" s="4" t="s">
        <v>173</v>
      </c>
    </row>
    <row r="16" spans="1:11" ht="92" customHeight="1">
      <c r="A16" s="4" t="s">
        <v>184</v>
      </c>
      <c r="B16" s="4" t="s">
        <v>484</v>
      </c>
      <c r="C16" s="4" t="s">
        <v>37</v>
      </c>
      <c r="D16" s="4" t="s">
        <v>171</v>
      </c>
      <c r="E16" s="4" t="s">
        <v>180</v>
      </c>
      <c r="F16" s="4">
        <v>5</v>
      </c>
      <c r="G16" s="4" t="s">
        <v>182</v>
      </c>
      <c r="H16" s="6" t="str">
        <f>HYPERLINK("file:///C:/Users/paola/Tesis/04_Bibliography/01_Fenología%20y%20umbrales/08_ARROZ_MULTI_MULTI_esd_16_1971_2025.pdf","Abrir PDF local")</f>
        <v>Abrir PDF local</v>
      </c>
      <c r="I16" s="6" t="str">
        <f>HYPERLINK("https://doi.org/10.5194/esd-16-1971-2025","Abrir fuente en línea")</f>
        <v>Abrir fuente en línea</v>
      </c>
      <c r="J16" s="4" t="s">
        <v>168</v>
      </c>
      <c r="K16" s="4" t="s">
        <v>183</v>
      </c>
    </row>
    <row r="17" spans="1:11" ht="92" customHeight="1">
      <c r="A17" s="4" t="s">
        <v>193</v>
      </c>
      <c r="B17" s="4" t="s">
        <v>484</v>
      </c>
      <c r="C17" s="4" t="s">
        <v>188</v>
      </c>
      <c r="D17" s="4" t="s">
        <v>171</v>
      </c>
      <c r="E17" s="4" t="s">
        <v>189</v>
      </c>
      <c r="F17" s="4">
        <v>3</v>
      </c>
      <c r="G17" s="4" t="s">
        <v>191</v>
      </c>
      <c r="H17" s="6" t="str">
        <f>HYPERLINK("file:///C:/Users/paola/Tesis/04_Bibliography/01_Fenología%20y%20umbrales/08_ARROZ_MULTI_MULTI_esd_16_1971_2025.pdf","Abrir PDF local")</f>
        <v>Abrir PDF local</v>
      </c>
      <c r="I17" s="6" t="str">
        <f>HYPERLINK("https://doi.org/10.5194/esd-16-1971-2025","Abrir fuente en línea")</f>
        <v>Abrir fuente en línea</v>
      </c>
      <c r="J17" s="4" t="s">
        <v>168</v>
      </c>
      <c r="K17" s="4" t="s">
        <v>192</v>
      </c>
    </row>
    <row r="18" spans="1:11" ht="92" customHeight="1">
      <c r="A18" s="4" t="s">
        <v>201</v>
      </c>
      <c r="B18" s="4" t="s">
        <v>484</v>
      </c>
      <c r="C18" s="4" t="s">
        <v>196</v>
      </c>
      <c r="D18" s="4" t="s">
        <v>171</v>
      </c>
      <c r="E18" s="4" t="s">
        <v>197</v>
      </c>
      <c r="F18" s="4">
        <v>2</v>
      </c>
      <c r="G18" s="4" t="s">
        <v>199</v>
      </c>
      <c r="H18" s="6" t="str">
        <f>HYPERLINK("file:///C:/Users/paola/Tesis/04_Bibliography/01_Fenología%20y%20umbrales/08_ARROZ_MULTI_MULTI_esd_16_1971_2025.pdf","Abrir PDF local")</f>
        <v>Abrir PDF local</v>
      </c>
      <c r="I18" s="6" t="str">
        <f>HYPERLINK("https://doi.org/10.5194/esd-16-1971-2025","Abrir fuente en línea")</f>
        <v>Abrir fuente en línea</v>
      </c>
      <c r="J18" s="4" t="s">
        <v>168</v>
      </c>
      <c r="K18" s="4" t="s">
        <v>200</v>
      </c>
    </row>
    <row r="19" spans="1:11" ht="92" customHeight="1">
      <c r="A19" s="4" t="s">
        <v>212</v>
      </c>
      <c r="B19" s="4" t="s">
        <v>484</v>
      </c>
      <c r="C19" s="4" t="s">
        <v>64</v>
      </c>
      <c r="D19" s="4" t="s">
        <v>69</v>
      </c>
      <c r="E19" s="4" t="s">
        <v>210</v>
      </c>
      <c r="F19" s="4">
        <v>1</v>
      </c>
      <c r="G19" s="4" t="s">
        <v>70</v>
      </c>
      <c r="H19" s="6" t="str">
        <f>HYPERLINK("file:///C:/Users/paola/Tesis/04_Bibliography/01_Fenología%20y%20umbrales/03_MULTI_CALOR_MULTI_From_the_floret_to_the_canopy_High_temperature_toleranc.pdf","Abrir PDF local")</f>
        <v>Abrir PDF local</v>
      </c>
      <c r="I19" s="6" t="str">
        <f>HYPERLINK("https://doi.org/10.1016/j.xplc.2023.100629","Abrir fuente en línea")</f>
        <v>Abrir fuente en línea</v>
      </c>
      <c r="J19" s="4" t="s">
        <v>66</v>
      </c>
      <c r="K19" s="4" t="s">
        <v>211</v>
      </c>
    </row>
    <row r="20" spans="1:11" ht="92" customHeight="1">
      <c r="A20" s="4" t="s">
        <v>220</v>
      </c>
      <c r="B20" s="4" t="s">
        <v>484</v>
      </c>
      <c r="C20" s="4" t="s">
        <v>76</v>
      </c>
      <c r="D20" s="4" t="s">
        <v>69</v>
      </c>
      <c r="E20" s="4" t="s">
        <v>215</v>
      </c>
      <c r="F20" s="4">
        <v>3</v>
      </c>
      <c r="G20" s="4" t="s">
        <v>218</v>
      </c>
      <c r="H20" s="6" t="str">
        <f>HYPERLINK("file:///C:/Users/paola/Tesis/04_Bibliography/01_Fenología%20y%20umbrales/03_MULTI_CALOR_MULTI_From_the_floret_to_the_canopy_High_temperature_toleranc.pdf","Abrir PDF local")</f>
        <v>Abrir PDF local</v>
      </c>
      <c r="I20" s="6" t="str">
        <f>HYPERLINK("https://doi.org/10.1016/j.xplc.2023.100629","Abrir fuente en línea")</f>
        <v>Abrir fuente en línea</v>
      </c>
      <c r="J20" s="4" t="s">
        <v>216</v>
      </c>
      <c r="K20" s="4" t="s">
        <v>219</v>
      </c>
    </row>
    <row r="21" spans="1:11" ht="92" customHeight="1">
      <c r="A21" s="4" t="s">
        <v>229</v>
      </c>
      <c r="B21" s="4" t="s">
        <v>484</v>
      </c>
      <c r="C21" s="4" t="s">
        <v>222</v>
      </c>
      <c r="D21" s="4" t="s">
        <v>226</v>
      </c>
      <c r="E21" s="4" t="s">
        <v>223</v>
      </c>
      <c r="F21" s="4">
        <v>7</v>
      </c>
      <c r="G21" s="4" t="s">
        <v>227</v>
      </c>
      <c r="H21" s="6" t="str">
        <f>HYPERLINK("file:///C:/Users/paola/Tesis/04_Bibliography/01_Fenología%20y%20umbrales/Otros%20de%20fenología/28_ARROZ_FRIO_ANTESIS_Zhang_2017.pdf","Abrir PDF local")</f>
        <v>Abrir PDF local</v>
      </c>
      <c r="I21" s="6" t="str">
        <f>HYPERLINK("https://doi.org/10.3389/fpls.2017.01350","Abrir fuente en línea")</f>
        <v>Abrir fuente en línea</v>
      </c>
      <c r="J21" s="4" t="s">
        <v>53</v>
      </c>
      <c r="K21" s="4" t="s">
        <v>228</v>
      </c>
    </row>
    <row r="22" spans="1:11" ht="92" customHeight="1">
      <c r="A22" s="4" t="s">
        <v>240</v>
      </c>
      <c r="B22" s="4" t="s">
        <v>484</v>
      </c>
      <c r="C22" s="4" t="s">
        <v>232</v>
      </c>
      <c r="D22" s="4" t="s">
        <v>237</v>
      </c>
      <c r="E22" s="4" t="s">
        <v>233</v>
      </c>
      <c r="F22" s="4">
        <v>9</v>
      </c>
      <c r="G22" s="4" t="s">
        <v>238</v>
      </c>
      <c r="H22" s="6" t="str">
        <f>HYPERLINK("file:///C:/Users/paola/Tesis/04_Bibliography/01_Fenología%20y%20umbrales/Otros%20de%20fenología/29_ARROZ_SEQUIA_FLORACION_Yang_2019.pdf","Abrir PDF local")</f>
        <v>Abrir PDF local</v>
      </c>
      <c r="I22" s="6" t="str">
        <f>HYPERLINK("https://doi.org/10.1038/s41598-019-40161-0","Abrir fuente en línea")</f>
        <v>Abrir fuente en línea</v>
      </c>
      <c r="J22" s="4" t="s">
        <v>234</v>
      </c>
      <c r="K22" s="4" t="s">
        <v>239</v>
      </c>
    </row>
    <row r="23" spans="1:11" ht="92" customHeight="1">
      <c r="A23" s="4" t="s">
        <v>248</v>
      </c>
      <c r="B23" s="4" t="s">
        <v>484</v>
      </c>
      <c r="C23" s="4" t="s">
        <v>188</v>
      </c>
      <c r="D23" s="4" t="s">
        <v>171</v>
      </c>
      <c r="E23" s="4" t="s">
        <v>245</v>
      </c>
      <c r="F23" s="4">
        <v>2</v>
      </c>
      <c r="G23" s="4" t="s">
        <v>247</v>
      </c>
      <c r="H23" s="6" t="str">
        <f>HYPERLINK("file:///C:/Users/paola/Tesis/04_Bibliography/01_Fenología%20y%20umbrales/08_ARROZ_MULTI_MULTI_esd_16_1971_2025.pdf","Abrir PDF local")</f>
        <v>Abrir PDF local</v>
      </c>
      <c r="I23" s="6" t="str">
        <f>HYPERLINK("https://doi.org/10.5194/esd-16-1971-2025","Abrir fuente en línea")</f>
        <v>Abrir fuente en línea</v>
      </c>
      <c r="J23" s="4" t="s">
        <v>168</v>
      </c>
      <c r="K23" s="4" t="s">
        <v>192</v>
      </c>
    </row>
    <row r="24" spans="1:11" ht="92" customHeight="1">
      <c r="A24" s="4" t="s">
        <v>261</v>
      </c>
      <c r="B24" s="4" t="s">
        <v>484</v>
      </c>
      <c r="C24" s="4" t="s">
        <v>254</v>
      </c>
      <c r="D24" s="4" t="s">
        <v>258</v>
      </c>
      <c r="E24" s="4" t="s">
        <v>255</v>
      </c>
      <c r="F24" s="4">
        <v>2</v>
      </c>
      <c r="G24" s="4" t="s">
        <v>259</v>
      </c>
      <c r="H24" s="6" t="str">
        <f>HYPERLINK("file:///C:/Users/paola/Tesis/04_Bibliography/01_FenologÃ­a%20y%20umbrales/Otros%20de%20fenologÃ­a/53_PMC12535988.pdf","Abrir PDF local")</f>
        <v>Abrir PDF local</v>
      </c>
      <c r="I24" s="6" t="str">
        <f>HYPERLINK("https://europepmc.org/articles/PMC12535988","Abrir fuente en línea")</f>
        <v>Abrir fuente en línea</v>
      </c>
      <c r="J24" s="4" t="s">
        <v>127</v>
      </c>
      <c r="K24" s="4" t="s">
        <v>260</v>
      </c>
    </row>
    <row r="25" spans="1:11" ht="92" customHeight="1">
      <c r="A25" s="4" t="s">
        <v>273</v>
      </c>
      <c r="B25" s="4" t="s">
        <v>485</v>
      </c>
      <c r="C25" s="4" t="s">
        <v>102</v>
      </c>
      <c r="D25" s="4" t="s">
        <v>270</v>
      </c>
      <c r="E25" s="4" t="s">
        <v>266</v>
      </c>
      <c r="F25" s="4">
        <v>1</v>
      </c>
      <c r="G25" s="4" t="s">
        <v>271</v>
      </c>
      <c r="H25" s="6" t="str">
        <f>HYPERLINK("file:///C:/Users/paola/Tesis/04_Bibliography/01_Fenología%20y%20umbrales/16_MULTI_CALOR_MADURACION_Consistent_negative_response_of_US_crops_to_high_temper.pdf","Abrir PDF local")</f>
        <v>Abrir PDF local</v>
      </c>
      <c r="I25" s="6" t="str">
        <f>HYPERLINK("https://doi.org/10.1038/ncomms13931","Abrir fuente en línea")</f>
        <v>Abrir fuente en línea</v>
      </c>
      <c r="J25" s="4" t="s">
        <v>267</v>
      </c>
      <c r="K25" s="4" t="s">
        <v>272</v>
      </c>
    </row>
    <row r="26" spans="1:11" ht="92" customHeight="1">
      <c r="A26" s="4" t="s">
        <v>284</v>
      </c>
      <c r="B26" s="4" t="s">
        <v>485</v>
      </c>
      <c r="C26" s="4" t="s">
        <v>276</v>
      </c>
      <c r="D26" s="4" t="s">
        <v>281</v>
      </c>
      <c r="E26" s="4" t="s">
        <v>277</v>
      </c>
      <c r="F26" s="4">
        <v>3</v>
      </c>
      <c r="G26" s="4" t="s">
        <v>282</v>
      </c>
      <c r="H26" s="6" t="str">
        <f>HYPERLINK("file:///C:/Users/paola/Tesis/04_Bibliography/05_Calendarios_fenologicos_monitoreo_y_alerta/25_soya_temperatura_desarrollo_MSState.pdf","Abrir PDF local")</f>
        <v>Abrir PDF local</v>
      </c>
      <c r="I26" s="6" t="str">
        <f>HYPERLINK("https://hdl.handle.net/11668/20905","Abrir fuente en línea")</f>
        <v>Abrir fuente en línea</v>
      </c>
      <c r="J26" s="4" t="s">
        <v>278</v>
      </c>
      <c r="K26" s="4" t="s">
        <v>283</v>
      </c>
    </row>
    <row r="27" spans="1:11" ht="92" customHeight="1">
      <c r="A27" s="4" t="s">
        <v>294</v>
      </c>
      <c r="B27" s="4" t="s">
        <v>485</v>
      </c>
      <c r="C27" s="4" t="s">
        <v>286</v>
      </c>
      <c r="D27" s="4" t="s">
        <v>291</v>
      </c>
      <c r="E27" s="4" t="s">
        <v>287</v>
      </c>
      <c r="F27" s="4">
        <v>1</v>
      </c>
      <c r="G27" s="4" t="s">
        <v>292</v>
      </c>
      <c r="H27" s="6" t="str">
        <f>HYPERLINK("file:///C:/Users/paola/Tesis/04_Bibliography/01_Fenología%20y%20umbrales/Otros%20de%20fenología/42_SOYA_INUNDACION_DURACION_FASE_Shen_2023.pdf","Abrir PDF local")</f>
        <v>Abrir PDF local</v>
      </c>
      <c r="I27" s="6" t="str">
        <f>HYPERLINK("https://doi.org/10.3390/su15010738","Abrir fuente en línea")</f>
        <v>Abrir fuente en línea</v>
      </c>
      <c r="J27" s="4" t="s">
        <v>288</v>
      </c>
      <c r="K27" s="4" t="s">
        <v>293</v>
      </c>
    </row>
    <row r="28" spans="1:11" ht="92" customHeight="1">
      <c r="A28" s="4" t="s">
        <v>311</v>
      </c>
      <c r="B28" s="4" t="s">
        <v>485</v>
      </c>
      <c r="C28" s="4" t="s">
        <v>304</v>
      </c>
      <c r="D28" s="4" t="s">
        <v>308</v>
      </c>
      <c r="E28" s="4" t="s">
        <v>305</v>
      </c>
      <c r="F28" s="4">
        <v>3</v>
      </c>
      <c r="G28" s="4" t="s">
        <v>309</v>
      </c>
      <c r="H28" s="6" t="str">
        <f>HYPERLINK("file:///C:/Users/paola/Tesis/04_Bibliography/01_Fenología%20y%20umbrales/Otros%20de%20fenología/41_SOYA_ANEGAMIENTO_R1_Adegoye_2023.pdf","Abrir PDF local")</f>
        <v>Abrir PDF local</v>
      </c>
      <c r="I28" s="6" t="str">
        <f>HYPERLINK("https://doi.org/10.3390/agriculture13040844","Abrir fuente en línea")</f>
        <v>Abrir fuente en línea</v>
      </c>
      <c r="J28" s="4" t="s">
        <v>53</v>
      </c>
      <c r="K28" s="4" t="s">
        <v>310</v>
      </c>
    </row>
    <row r="29" spans="1:11" ht="92" customHeight="1">
      <c r="A29" s="4" t="s">
        <v>319</v>
      </c>
      <c r="B29" s="4" t="s">
        <v>485</v>
      </c>
      <c r="C29" s="4" t="s">
        <v>286</v>
      </c>
      <c r="D29" s="4" t="s">
        <v>291</v>
      </c>
      <c r="E29" s="4" t="s">
        <v>315</v>
      </c>
      <c r="F29" s="4">
        <v>1</v>
      </c>
      <c r="G29" s="4" t="s">
        <v>292</v>
      </c>
      <c r="H29" s="6" t="str">
        <f>HYPERLINK("file:///C:/Users/paola/Tesis/04_Bibliography/01_Fenología%20y%20umbrales/Otros%20de%20fenología/42_SOYA_INUNDACION_DURACION_FASE_Shen_2023.pdf","Abrir PDF local")</f>
        <v>Abrir PDF local</v>
      </c>
      <c r="I29" s="6" t="str">
        <f>HYPERLINK("https://doi.org/10.3390/su15010738","Abrir fuente en línea")</f>
        <v>Abrir fuente en línea</v>
      </c>
      <c r="J29" s="4" t="s">
        <v>288</v>
      </c>
      <c r="K29" s="4" t="s">
        <v>318</v>
      </c>
    </row>
    <row r="30" spans="1:11" ht="92" customHeight="1">
      <c r="A30" s="4" t="s">
        <v>342</v>
      </c>
      <c r="B30" s="4" t="s">
        <v>485</v>
      </c>
      <c r="C30" s="4" t="s">
        <v>334</v>
      </c>
      <c r="D30" s="4" t="s">
        <v>339</v>
      </c>
      <c r="E30" s="4" t="s">
        <v>335</v>
      </c>
      <c r="F30" s="4">
        <v>3</v>
      </c>
      <c r="G30" s="4" t="s">
        <v>340</v>
      </c>
      <c r="H30" s="6" t="str">
        <f>HYPERLINK("file:///C:/Users/paola/Tesis/04_Bibliography/01_Fenología%20y%20umbrales/Otros%20de%20fenología/39_PAPER_PMC9987466_VERIFICAR_TITULO.pdf","Abrir PDF local")</f>
        <v>Abrir PDF local</v>
      </c>
      <c r="I30" s="6" t="str">
        <f>HYPERLINK("https://doi.org/10.3389/fpls.2023.1099621","Abrir fuente en línea")</f>
        <v>Abrir fuente en línea</v>
      </c>
      <c r="J30" s="4" t="s">
        <v>336</v>
      </c>
      <c r="K30" s="4" t="s">
        <v>341</v>
      </c>
    </row>
    <row r="31" spans="1:11" ht="92" customHeight="1">
      <c r="A31" s="4" t="s">
        <v>360</v>
      </c>
      <c r="B31" s="4" t="s">
        <v>486</v>
      </c>
      <c r="C31" s="4" t="s">
        <v>102</v>
      </c>
      <c r="D31" s="4" t="s">
        <v>357</v>
      </c>
      <c r="E31" s="4" t="s">
        <v>354</v>
      </c>
      <c r="F31" s="4">
        <v>5</v>
      </c>
      <c r="G31" s="4" t="s">
        <v>358</v>
      </c>
      <c r="H31" s="6" t="str">
        <f>HYPERLINK("file:///C:/Users/paola/Tesis/04_Bibliography/01_Fenología%20y%20umbrales/02_TRIGO_MULTI_MULTI_Heat_stress_effects_and_management_in_wheat_A_review.pdf","Abrir PDF local")</f>
        <v>Abrir PDF local</v>
      </c>
      <c r="I31" s="6" t="str">
        <f>HYPERLINK("https://doi.org/10.1007/s13593-017-0443-9","Abrir fuente en línea")</f>
        <v>Abrir fuente en línea</v>
      </c>
      <c r="J31" s="4" t="s">
        <v>355</v>
      </c>
      <c r="K31" s="4" t="s">
        <v>359</v>
      </c>
    </row>
    <row r="32" spans="1:11" ht="92" customHeight="1">
      <c r="A32" s="4" t="s">
        <v>375</v>
      </c>
      <c r="B32" s="4" t="s">
        <v>486</v>
      </c>
      <c r="C32" s="4" t="s">
        <v>368</v>
      </c>
      <c r="D32" s="4" t="s">
        <v>372</v>
      </c>
      <c r="E32" s="4" t="s">
        <v>369</v>
      </c>
      <c r="F32" s="4">
        <v>15</v>
      </c>
      <c r="G32" s="4" t="s">
        <v>373</v>
      </c>
      <c r="H32" s="6" t="str">
        <f>HYPERLINK("file:///C:/Users/paola/Tesis/04_Bibliography/01_FenologÃ­a%20y%20umbrales/Otros%20de%20fenologÃ­a/66_PMC9921141.pdf","Abrir PDF local")</f>
        <v>Abrir PDF local</v>
      </c>
      <c r="I32" s="6" t="str">
        <f>HYPERLINK("https://europepmc.org/articles/PMC9921141","Abrir fuente en línea")</f>
        <v>Abrir fuente en línea</v>
      </c>
      <c r="J32" s="4" t="s">
        <v>53</v>
      </c>
      <c r="K32" s="4" t="s">
        <v>374</v>
      </c>
    </row>
    <row r="33" spans="1:11" ht="92" customHeight="1">
      <c r="A33" s="4" t="s">
        <v>386</v>
      </c>
      <c r="B33" s="4" t="s">
        <v>486</v>
      </c>
      <c r="C33" s="4" t="s">
        <v>379</v>
      </c>
      <c r="D33" s="4" t="s">
        <v>383</v>
      </c>
      <c r="E33" s="4" t="s">
        <v>380</v>
      </c>
      <c r="F33" s="4">
        <v>1</v>
      </c>
      <c r="G33" s="4" t="s">
        <v>384</v>
      </c>
      <c r="H33" s="6" t="str">
        <f>HYPERLINK("file:///C:/Users/paola/Tesis/04_Bibliography/01_FenologÃ­a%20y%20umbrales/Otros%20de%20fenologÃ­a/68_PMC6482243.pdf","Abrir PDF local")</f>
        <v>Abrir PDF local</v>
      </c>
      <c r="I33" s="6" t="str">
        <f>HYPERLINK("https://europepmc.org/articles/PMC6482243","Abrir fuente en línea")</f>
        <v>Abrir fuente en línea</v>
      </c>
      <c r="J33" s="4" t="s">
        <v>53</v>
      </c>
      <c r="K33" s="4" t="s">
        <v>385</v>
      </c>
    </row>
    <row r="34" spans="1:11" ht="92" customHeight="1">
      <c r="A34" s="4" t="s">
        <v>395</v>
      </c>
      <c r="B34" s="4" t="s">
        <v>486</v>
      </c>
      <c r="C34" s="4" t="s">
        <v>388</v>
      </c>
      <c r="D34" s="4" t="s">
        <v>392</v>
      </c>
      <c r="E34" s="4" t="s">
        <v>389</v>
      </c>
      <c r="F34" s="4">
        <v>2</v>
      </c>
      <c r="G34" s="4" t="s">
        <v>393</v>
      </c>
      <c r="H34" s="6" t="str">
        <f>HYPERLINK("file:///C:/Users/paola/Tesis/04_Bibliography/01_FenologÃ­a%20y%20umbrales/Otros%20de%20fenologÃ­a/69_PMC5263156.pdf","Abrir PDF local")</f>
        <v>Abrir PDF local</v>
      </c>
      <c r="I34" s="6" t="str">
        <f>HYPERLINK("https://europepmc.org/articles/PMC5263156","Abrir fuente en línea")</f>
        <v>Abrir fuente en línea</v>
      </c>
      <c r="J34" s="4" t="s">
        <v>53</v>
      </c>
      <c r="K34" s="4" t="s">
        <v>394</v>
      </c>
    </row>
    <row r="35" spans="1:11" ht="92" customHeight="1">
      <c r="A35" s="4" t="s">
        <v>407</v>
      </c>
      <c r="B35" s="4" t="s">
        <v>486</v>
      </c>
      <c r="C35" s="4" t="s">
        <v>399</v>
      </c>
      <c r="D35" s="4" t="s">
        <v>404</v>
      </c>
      <c r="E35" s="4" t="s">
        <v>400</v>
      </c>
      <c r="F35" s="4">
        <v>4</v>
      </c>
      <c r="G35" s="4" t="s">
        <v>405</v>
      </c>
      <c r="H35" s="6" t="str">
        <f>HYPERLINK("file:///C:/Users/paola/Tesis/04_Bibliography/01_Fenología%20y%20umbrales/Otros%20de%20fenología/33_TRIGO_HELADA_POSTESPIGAMIENTO_Frederiks_2015.pdf","Abrir PDF local")</f>
        <v>Abrir PDF local</v>
      </c>
      <c r="I35" s="6" t="str">
        <f>HYPERLINK("https://doi.org/10.1093/jxb/erv161","Abrir fuente en línea")</f>
        <v>Abrir fuente en línea</v>
      </c>
      <c r="J35" s="4" t="s">
        <v>401</v>
      </c>
      <c r="K35" s="4" t="s">
        <v>406</v>
      </c>
    </row>
    <row r="36" spans="1:11" ht="92" customHeight="1">
      <c r="A36" s="4" t="s">
        <v>413</v>
      </c>
      <c r="B36" s="4" t="s">
        <v>486</v>
      </c>
      <c r="C36" s="4" t="s">
        <v>64</v>
      </c>
      <c r="D36" s="4" t="s">
        <v>69</v>
      </c>
      <c r="E36" s="4" t="s">
        <v>410</v>
      </c>
      <c r="F36" s="4">
        <v>1</v>
      </c>
      <c r="G36" s="4" t="s">
        <v>70</v>
      </c>
      <c r="H36" s="6" t="str">
        <f>HYPERLINK("file:///C:/Users/paola/Tesis/04_Bibliography/01_Fenología%20y%20umbrales/03_MULTI_CALOR_MULTI_From_the_floret_to_the_canopy_High_temperature_toleranc.pdf","Abrir PDF local")</f>
        <v>Abrir PDF local</v>
      </c>
      <c r="I36" s="6" t="str">
        <f>HYPERLINK("https://doi.org/10.1016/j.xplc.2023.100629","Abrir fuente en línea")</f>
        <v>Abrir fuente en línea</v>
      </c>
      <c r="J36" s="4" t="s">
        <v>66</v>
      </c>
      <c r="K36" s="4" t="s">
        <v>412</v>
      </c>
    </row>
    <row r="37" spans="1:11" ht="92" customHeight="1">
      <c r="A37" s="4" t="s">
        <v>419</v>
      </c>
      <c r="B37" s="4" t="s">
        <v>486</v>
      </c>
      <c r="C37" s="4" t="s">
        <v>76</v>
      </c>
      <c r="D37" s="4" t="s">
        <v>69</v>
      </c>
      <c r="E37" s="4" t="s">
        <v>415</v>
      </c>
      <c r="F37" s="4">
        <v>3</v>
      </c>
      <c r="G37" s="4" t="s">
        <v>417</v>
      </c>
      <c r="H37" s="6" t="str">
        <f>HYPERLINK("file:///C:/Users/paola/Tesis/04_Bibliography/01_Fenología%20y%20umbrales/03_MULTI_CALOR_MULTI_From_the_floret_to_the_canopy_High_temperature_toleranc.pdf","Abrir PDF local")</f>
        <v>Abrir PDF local</v>
      </c>
      <c r="I37" s="6" t="str">
        <f>HYPERLINK("https://doi.org/10.1016/j.xplc.2023.100629","Abrir fuente en línea")</f>
        <v>Abrir fuente en línea</v>
      </c>
      <c r="J37" s="4" t="s">
        <v>216</v>
      </c>
      <c r="K37" s="4" t="s">
        <v>418</v>
      </c>
    </row>
    <row r="38" spans="1:11" ht="92" customHeight="1">
      <c r="A38" s="4" t="s">
        <v>428</v>
      </c>
      <c r="B38" s="4" t="s">
        <v>486</v>
      </c>
      <c r="C38" s="4" t="s">
        <v>421</v>
      </c>
      <c r="D38" s="4" t="s">
        <v>425</v>
      </c>
      <c r="E38" s="4" t="s">
        <v>422</v>
      </c>
      <c r="F38" s="4">
        <v>4</v>
      </c>
      <c r="G38" s="4" t="s">
        <v>426</v>
      </c>
      <c r="H38" s="6" t="str">
        <f>HYPERLINK("file:///C:/Users/paola/Tesis/04_Bibliography/01_Fenología%20y%20umbrales/Otros%20de%20fenología/32_TRIGO_ANEGAMIENTO_POSTFLORACION_Ma_2022.pdf","Abrir PDF local")</f>
        <v>Abrir PDF local</v>
      </c>
      <c r="I38" s="6" t="str">
        <f>HYPERLINK("https://doi.org/10.3389/fpls.2022.944308","Abrir fuente en línea")</f>
        <v>Abrir fuente en línea</v>
      </c>
      <c r="J38" s="4" t="s">
        <v>234</v>
      </c>
      <c r="K38" s="4" t="s">
        <v>427</v>
      </c>
    </row>
    <row r="39" spans="1:11" ht="92" customHeight="1">
      <c r="A39" s="4" t="s">
        <v>441</v>
      </c>
      <c r="B39" s="4" t="s">
        <v>486</v>
      </c>
      <c r="C39" s="4" t="s">
        <v>434</v>
      </c>
      <c r="D39" s="4" t="s">
        <v>438</v>
      </c>
      <c r="E39" s="4" t="s">
        <v>435</v>
      </c>
      <c r="F39" s="4">
        <v>1</v>
      </c>
      <c r="G39" s="4" t="s">
        <v>439</v>
      </c>
      <c r="H39" s="6" t="str">
        <f>HYPERLINK("file:///C:/Users/paola/Tesis/04_Bibliography/01_Fenología%20y%20umbrales/Otros%20de%20fenología/31_TRIGO_CALOR_NOCTURNO_Hein_2020.pdf","Abrir PDF local")</f>
        <v>Abrir PDF local</v>
      </c>
      <c r="I39" s="6" t="str">
        <f>HYPERLINK("https://doi.org/10.1038/s41598-020-79179-0","Abrir fuente en línea")</f>
        <v>Abrir fuente en línea</v>
      </c>
      <c r="J39" s="4" t="s">
        <v>234</v>
      </c>
      <c r="K39" s="4" t="s">
        <v>440</v>
      </c>
    </row>
    <row r="40" spans="1:11" ht="92" customHeight="1">
      <c r="A40" s="4" t="s">
        <v>454</v>
      </c>
      <c r="B40" s="4" t="s">
        <v>486</v>
      </c>
      <c r="C40" s="4" t="s">
        <v>446</v>
      </c>
      <c r="D40" s="4" t="s">
        <v>451</v>
      </c>
      <c r="E40" s="4" t="s">
        <v>447</v>
      </c>
      <c r="F40" s="4">
        <v>3</v>
      </c>
      <c r="G40" s="4" t="s">
        <v>452</v>
      </c>
      <c r="H40" s="6" t="str">
        <f>HYPERLINK("file:///C:/Users/paola/Tesis/04_Bibliography/01_FenologÃ­a%20y%20umbrales/Otros%20de%20fenologÃ­a/72_PMC11172332.pdf","Abrir PDF local")</f>
        <v>Abrir PDF local</v>
      </c>
      <c r="I40" s="6" t="str">
        <f>HYPERLINK("https://europepmc.org/articles/PMC11172332","Abrir fuente en línea")</f>
        <v>Abrir fuente en línea</v>
      </c>
      <c r="J40" s="4" t="s">
        <v>448</v>
      </c>
      <c r="K40" s="4" t="s">
        <v>453</v>
      </c>
    </row>
    <row r="41" spans="1:11" ht="180" customHeight="1">
      <c r="A41" s="4" t="s">
        <v>727</v>
      </c>
      <c r="B41" s="4" t="s">
        <v>483</v>
      </c>
      <c r="C41" s="4" t="s">
        <v>719</v>
      </c>
      <c r="D41" s="4" t="s">
        <v>106</v>
      </c>
      <c r="E41" s="4" t="s">
        <v>720</v>
      </c>
      <c r="F41" s="4" t="s">
        <v>724</v>
      </c>
      <c r="G41" s="4" t="s">
        <v>725</v>
      </c>
      <c r="H41" s="6" t="str">
        <f>HYPERLINK("file:///C:/Users/paola/Documents/Codex/2026-07-19/nece/outputs/papers_evidencia/MZ_F3_Zhang_2023_heat_grain_filling.pdf","Abrir PDF local")</f>
        <v>Abrir PDF local</v>
      </c>
      <c r="I41" s="6" t="str">
        <f>HYPERLINK("https://doi.org/10.3390/agronomy13082126","Abrir fuente en línea")</f>
        <v>Abrir fuente en línea</v>
      </c>
      <c r="J41" s="4" t="s">
        <v>721</v>
      </c>
      <c r="K41" s="4" t="s">
        <v>726</v>
      </c>
    </row>
    <row r="42" spans="1:11" ht="110" customHeight="1">
      <c r="A42" s="4" t="s">
        <v>755</v>
      </c>
      <c r="B42" s="4" t="s">
        <v>483</v>
      </c>
      <c r="C42" s="4" t="s">
        <v>669</v>
      </c>
      <c r="D42" s="4" t="s">
        <v>750</v>
      </c>
      <c r="E42" s="4" t="s">
        <v>747</v>
      </c>
      <c r="F42" s="4" t="s">
        <v>751</v>
      </c>
      <c r="G42" s="4" t="s">
        <v>752</v>
      </c>
      <c r="H42" s="6" t="s">
        <v>754</v>
      </c>
      <c r="I42" s="6" t="e">
        <f>HYPERLINK("https://doi.org/10.1016/j.eja.2025.127729","Abrir DOI")</f>
        <v>#VALUE!</v>
      </c>
      <c r="J42" s="4" t="s">
        <v>748</v>
      </c>
      <c r="K42" s="4" t="s">
        <v>753</v>
      </c>
    </row>
    <row r="43" spans="1:11" ht="110" customHeight="1">
      <c r="A43" s="4" t="s">
        <v>766</v>
      </c>
      <c r="B43" s="4" t="s">
        <v>483</v>
      </c>
      <c r="C43" s="4" t="s">
        <v>669</v>
      </c>
      <c r="D43" s="4" t="s">
        <v>750</v>
      </c>
      <c r="E43" s="4" t="s">
        <v>765</v>
      </c>
      <c r="F43" s="4" t="s">
        <v>751</v>
      </c>
      <c r="G43" s="4" t="s">
        <v>752</v>
      </c>
      <c r="H43" s="6" t="s">
        <v>754</v>
      </c>
      <c r="I43" s="6" t="e">
        <f>HYPERLINK("https://doi.org/10.1016/j.eja.2025.127729","Abrir DOI")</f>
        <v>#VALUE!</v>
      </c>
      <c r="J43" s="4" t="s">
        <v>748</v>
      </c>
      <c r="K43" s="4" t="s">
        <v>753</v>
      </c>
    </row>
    <row r="44" spans="1:11" ht="110" customHeight="1">
      <c r="A44" s="4" t="s">
        <v>769</v>
      </c>
      <c r="B44" s="4" t="s">
        <v>483</v>
      </c>
      <c r="C44" s="4" t="s">
        <v>669</v>
      </c>
      <c r="D44" s="4" t="s">
        <v>750</v>
      </c>
      <c r="E44" s="4" t="s">
        <v>768</v>
      </c>
      <c r="F44" s="4" t="s">
        <v>751</v>
      </c>
      <c r="G44" s="4" t="s">
        <v>752</v>
      </c>
      <c r="H44" s="6" t="s">
        <v>754</v>
      </c>
      <c r="I44" s="6" t="e">
        <f>HYPERLINK("https://doi.org/10.1016/j.eja.2025.127729","Abrir DOI")</f>
        <v>#VALUE!</v>
      </c>
      <c r="J44" s="4" t="s">
        <v>748</v>
      </c>
      <c r="K44" s="4" t="s">
        <v>753</v>
      </c>
    </row>
    <row r="45" spans="1:11" ht="110" customHeight="1">
      <c r="A45" s="4" t="s">
        <v>773</v>
      </c>
      <c r="B45" s="4" t="s">
        <v>483</v>
      </c>
      <c r="C45" s="4" t="s">
        <v>669</v>
      </c>
      <c r="D45" s="4" t="s">
        <v>750</v>
      </c>
      <c r="E45" s="4" t="s">
        <v>772</v>
      </c>
      <c r="F45" s="4" t="s">
        <v>751</v>
      </c>
      <c r="G45" s="4" t="s">
        <v>752</v>
      </c>
      <c r="H45" s="6" t="s">
        <v>754</v>
      </c>
      <c r="I45" s="6" t="e">
        <f>HYPERLINK("https://doi.org/10.1016/j.eja.2025.127729","Abrir DOI")</f>
        <v>#VALUE!</v>
      </c>
      <c r="J45" s="4" t="s">
        <v>748</v>
      </c>
      <c r="K45" s="4" t="s">
        <v>753</v>
      </c>
    </row>
    <row r="46" spans="1:11" ht="110" customHeight="1">
      <c r="A46" s="4" t="s">
        <v>784</v>
      </c>
      <c r="B46" s="4" t="s">
        <v>483</v>
      </c>
      <c r="C46" s="4" t="s">
        <v>776</v>
      </c>
      <c r="D46" s="4" t="s">
        <v>780</v>
      </c>
      <c r="E46" s="4" t="s">
        <v>777</v>
      </c>
      <c r="F46" s="4" t="s">
        <v>781</v>
      </c>
      <c r="G46" s="4" t="s">
        <v>782</v>
      </c>
      <c r="H46" s="6" t="e">
        <f>HYPERLINK("C:/Users/paola/Tesis/04_Bibliography/01_Fenología y umbrales/10 fuentes faltantes/02_Li_2025b.pdf","Abrir PDF local")</f>
        <v>#VALUE!</v>
      </c>
      <c r="I46" s="6" t="e">
        <f>HYPERLINK("https://doi.org/10.3390/agronomy15071545","Abrir DOI")</f>
        <v>#VALUE!</v>
      </c>
      <c r="J46" s="4" t="s">
        <v>778</v>
      </c>
      <c r="K46" s="4" t="s">
        <v>783</v>
      </c>
    </row>
    <row r="47" spans="1:11" ht="110" customHeight="1">
      <c r="A47" s="4" t="s">
        <v>791</v>
      </c>
      <c r="B47" s="4" t="s">
        <v>483</v>
      </c>
      <c r="C47" s="4" t="s">
        <v>776</v>
      </c>
      <c r="D47" s="4" t="s">
        <v>780</v>
      </c>
      <c r="E47" s="4" t="s">
        <v>790</v>
      </c>
      <c r="F47" s="4" t="s">
        <v>781</v>
      </c>
      <c r="G47" s="4" t="s">
        <v>782</v>
      </c>
      <c r="H47" s="6" t="e">
        <f>HYPERLINK("C:/Users/paola/Tesis/04_Bibliography/01_Fenología y umbrales/10 fuentes faltantes/02_Li_2025b.pdf","Abrir PDF local")</f>
        <v>#VALUE!</v>
      </c>
      <c r="I47" s="6" t="e">
        <f>HYPERLINK("https://doi.org/10.3390/agronomy15071545","Abrir DOI")</f>
        <v>#VALUE!</v>
      </c>
      <c r="J47" s="4" t="s">
        <v>778</v>
      </c>
      <c r="K47" s="4" t="s">
        <v>783</v>
      </c>
    </row>
    <row r="48" spans="1:11" ht="110" customHeight="1">
      <c r="A48" s="4" t="s">
        <v>794</v>
      </c>
      <c r="B48" s="4" t="s">
        <v>483</v>
      </c>
      <c r="C48" s="4" t="s">
        <v>776</v>
      </c>
      <c r="D48" s="4" t="s">
        <v>780</v>
      </c>
      <c r="E48" s="4" t="s">
        <v>793</v>
      </c>
      <c r="F48" s="4" t="s">
        <v>781</v>
      </c>
      <c r="G48" s="4" t="s">
        <v>782</v>
      </c>
      <c r="H48" s="6" t="e">
        <f>HYPERLINK("C:/Users/paola/Tesis/04_Bibliography/01_Fenología y umbrales/10 fuentes faltantes/02_Li_2025b.pdf","Abrir PDF local")</f>
        <v>#VALUE!</v>
      </c>
      <c r="I48" s="6" t="e">
        <f>HYPERLINK("https://doi.org/10.3390/agronomy15071545","Abrir DOI")</f>
        <v>#VALUE!</v>
      </c>
      <c r="J48" s="4" t="s">
        <v>778</v>
      </c>
      <c r="K48" s="4" t="s">
        <v>783</v>
      </c>
    </row>
    <row r="49" spans="1:11" ht="110" customHeight="1">
      <c r="A49" s="4" t="s">
        <v>804</v>
      </c>
      <c r="B49" s="4" t="s">
        <v>484</v>
      </c>
      <c r="C49" s="4" t="s">
        <v>669</v>
      </c>
      <c r="D49" s="4" t="s">
        <v>800</v>
      </c>
      <c r="E49" s="4" t="s">
        <v>797</v>
      </c>
      <c r="F49" s="4" t="s">
        <v>801</v>
      </c>
      <c r="G49" s="4" t="s">
        <v>802</v>
      </c>
      <c r="H49" s="6" t="e">
        <f>HYPERLINK("C:/Users/paola/Tesis/04_Bibliography/01_Fenología y umbrales/10 fuentes faltantes/03_Jiang_2023.pdf","Abrir PDF local")</f>
        <v>#VALUE!</v>
      </c>
      <c r="I49" s="6" t="e">
        <f>HYPERLINK("https://doi.org/10.3390/agronomy13102574","Abrir DOI")</f>
        <v>#VALUE!</v>
      </c>
      <c r="J49" s="4" t="s">
        <v>798</v>
      </c>
      <c r="K49" s="4" t="s">
        <v>803</v>
      </c>
    </row>
    <row r="50" spans="1:11" ht="110" customHeight="1">
      <c r="A50" s="4" t="s">
        <v>817</v>
      </c>
      <c r="B50" s="4" t="s">
        <v>485</v>
      </c>
      <c r="C50" s="4" t="s">
        <v>809</v>
      </c>
      <c r="D50" s="4" t="s">
        <v>813</v>
      </c>
      <c r="E50" s="4" t="s">
        <v>810</v>
      </c>
      <c r="F50" s="4" t="s">
        <v>814</v>
      </c>
      <c r="G50" s="4" t="s">
        <v>815</v>
      </c>
      <c r="H50" s="6" t="e">
        <f>HYPERLINK("C:/Users/paola/Tesis/04_Bibliography/01_Fenología y umbrales/10 fuentes faltantes/04_Neththasinghe_2025.pdf","Abrir PDF local")</f>
        <v>#VALUE!</v>
      </c>
      <c r="I50" s="6" t="e">
        <f>HYPERLINK("https://doi.org/10.1007/s11104-025-07814-8","Abrir DOI")</f>
        <v>#VALUE!</v>
      </c>
      <c r="J50" s="4" t="s">
        <v>811</v>
      </c>
      <c r="K50" s="4" t="s">
        <v>816</v>
      </c>
    </row>
    <row r="51" spans="1:11" ht="110" customHeight="1">
      <c r="A51" s="4" t="s">
        <v>830</v>
      </c>
      <c r="B51" s="4" t="s">
        <v>485</v>
      </c>
      <c r="C51" s="4" t="s">
        <v>822</v>
      </c>
      <c r="D51" s="4" t="s">
        <v>826</v>
      </c>
      <c r="E51" s="4" t="s">
        <v>823</v>
      </c>
      <c r="F51" s="4" t="s">
        <v>827</v>
      </c>
      <c r="G51" s="4" t="s">
        <v>828</v>
      </c>
      <c r="H51" s="6" t="s">
        <v>754</v>
      </c>
      <c r="I51" s="6" t="e">
        <f>HYPERLINK("https://doi.org/10.1002/agg2.20576","Abrir DOI")</f>
        <v>#VALUE!</v>
      </c>
      <c r="J51" s="4" t="s">
        <v>824</v>
      </c>
      <c r="K51" s="4" t="s">
        <v>829</v>
      </c>
    </row>
    <row r="52" spans="1:11" ht="110" customHeight="1">
      <c r="A52" s="4" t="s">
        <v>843</v>
      </c>
      <c r="B52" s="4" t="s">
        <v>485</v>
      </c>
      <c r="C52" s="4" t="s">
        <v>834</v>
      </c>
      <c r="D52" s="4" t="s">
        <v>839</v>
      </c>
      <c r="E52" s="4" t="s">
        <v>835</v>
      </c>
      <c r="F52" s="4" t="s">
        <v>840</v>
      </c>
      <c r="G52" s="4" t="s">
        <v>841</v>
      </c>
      <c r="H52" s="6" t="e">
        <f>HYPERLINK("C:/Users/paola/Tesis/04_Bibliography/01_Fenología y umbrales/10 fuentes faltantes/06_Ravelombola_2022.pdf","Abrir PDF local")</f>
        <v>#VALUE!</v>
      </c>
      <c r="I52" s="6" t="e">
        <f>HYPERLINK("https://doi.org/10.3390/agronomy12051115","Abrir DOI")</f>
        <v>#VALUE!</v>
      </c>
      <c r="J52" s="4" t="s">
        <v>836</v>
      </c>
      <c r="K52" s="4" t="s">
        <v>842</v>
      </c>
    </row>
    <row r="53" spans="1:11" ht="110" customHeight="1">
      <c r="A53" s="4" t="s">
        <v>854</v>
      </c>
      <c r="B53" s="4" t="s">
        <v>485</v>
      </c>
      <c r="C53" s="4" t="s">
        <v>674</v>
      </c>
      <c r="D53" s="4" t="s">
        <v>850</v>
      </c>
      <c r="E53" s="4" t="s">
        <v>847</v>
      </c>
      <c r="F53" s="4" t="s">
        <v>851</v>
      </c>
      <c r="G53" s="4" t="s">
        <v>852</v>
      </c>
      <c r="H53" s="6" t="s">
        <v>754</v>
      </c>
      <c r="I53" s="6" t="e">
        <f>HYPERLINK("https://doi.org/10.1016/S1161-0301(96)02011-4","Abrir DOI")</f>
        <v>#VALUE!</v>
      </c>
      <c r="J53" s="4" t="s">
        <v>848</v>
      </c>
      <c r="K53" s="4" t="s">
        <v>853</v>
      </c>
    </row>
    <row r="54" spans="1:11" ht="110" customHeight="1">
      <c r="A54" s="4" t="s">
        <v>858</v>
      </c>
      <c r="B54" s="4" t="s">
        <v>485</v>
      </c>
      <c r="C54" s="4" t="s">
        <v>674</v>
      </c>
      <c r="D54" s="4" t="s">
        <v>850</v>
      </c>
      <c r="E54" s="4" t="s">
        <v>857</v>
      </c>
      <c r="F54" s="4" t="s">
        <v>851</v>
      </c>
      <c r="G54" s="4" t="s">
        <v>852</v>
      </c>
      <c r="H54" s="6" t="s">
        <v>754</v>
      </c>
      <c r="I54" s="6" t="e">
        <f>HYPERLINK("https://doi.org/10.1016/S1161-0301(96)02011-4","Abrir DOI")</f>
        <v>#VALUE!</v>
      </c>
      <c r="J54" s="4" t="s">
        <v>848</v>
      </c>
      <c r="K54" s="4" t="s">
        <v>853</v>
      </c>
    </row>
    <row r="55" spans="1:11" ht="110" customHeight="1">
      <c r="A55" s="4" t="s">
        <v>911</v>
      </c>
      <c r="B55" s="4" t="s">
        <v>485</v>
      </c>
      <c r="C55" s="4" t="s">
        <v>902</v>
      </c>
      <c r="D55" s="4" t="s">
        <v>907</v>
      </c>
      <c r="E55" s="4" t="s">
        <v>903</v>
      </c>
      <c r="F55" s="4" t="s">
        <v>908</v>
      </c>
      <c r="G55" s="4" t="s">
        <v>909</v>
      </c>
      <c r="H55" s="6" t="s">
        <v>754</v>
      </c>
      <c r="I55" s="6" t="e">
        <f>HYPERLINK("https://doi.org/10.1111/pce.13421","Abrir DOI")</f>
        <v>#VALUE!</v>
      </c>
      <c r="J55" s="4" t="s">
        <v>904</v>
      </c>
      <c r="K55" s="4" t="s">
        <v>910</v>
      </c>
    </row>
    <row r="56" spans="1:11" ht="110" customHeight="1">
      <c r="A56" s="4" t="s">
        <v>870</v>
      </c>
      <c r="B56" s="4" t="s">
        <v>485</v>
      </c>
      <c r="C56" s="4" t="s">
        <v>861</v>
      </c>
      <c r="D56" s="4" t="s">
        <v>866</v>
      </c>
      <c r="E56" s="4" t="s">
        <v>862</v>
      </c>
      <c r="F56" s="4" t="s">
        <v>867</v>
      </c>
      <c r="G56" s="4" t="s">
        <v>868</v>
      </c>
      <c r="H56" s="6" t="e">
        <f>HYPERLINK("C:/Users/paola/Tesis/04_Bibliography/01_Fenología y umbrales/10 fuentes faltantes/09_Weerasekara_2021.pdf","Abrir PDF local")</f>
        <v>#VALUE!</v>
      </c>
      <c r="I56" s="6" t="e">
        <f>HYPERLINK("https://doi.org/10.3390/agronomy11071430","Abrir DOI")</f>
        <v>#VALUE!</v>
      </c>
      <c r="J56" s="4" t="s">
        <v>863</v>
      </c>
      <c r="K56" s="4" t="s">
        <v>869</v>
      </c>
    </row>
    <row r="57" spans="1:11" ht="110" customHeight="1">
      <c r="A57" s="4" t="s">
        <v>881</v>
      </c>
      <c r="B57" s="4" t="s">
        <v>486</v>
      </c>
      <c r="C57" s="4" t="s">
        <v>874</v>
      </c>
      <c r="D57" s="4" t="s">
        <v>877</v>
      </c>
      <c r="E57" s="4" t="s">
        <v>875</v>
      </c>
      <c r="F57" s="4" t="s">
        <v>878</v>
      </c>
      <c r="G57" s="4" t="s">
        <v>879</v>
      </c>
      <c r="H57" s="6" t="e">
        <f>HYPERLINK("C:/Users/paola/Tesis/04_Bibliography/01_Fenología y umbrales/10 fuentes faltantes/10_Sharma_2022.pdf","Abrir PDF local")</f>
        <v>#VALUE!</v>
      </c>
      <c r="I57" s="6" t="e">
        <f>HYPERLINK("https://doi.org/10.3390/agriculture12091500","Abrir DOI")</f>
        <v>#VALUE!</v>
      </c>
      <c r="J57" s="4" t="s">
        <v>824</v>
      </c>
      <c r="K57" s="4" t="s">
        <v>880</v>
      </c>
    </row>
    <row r="58" spans="1:11" ht="110" customHeight="1">
      <c r="A58" s="4" t="s">
        <v>885</v>
      </c>
      <c r="B58" s="4" t="s">
        <v>486</v>
      </c>
      <c r="C58" s="4" t="s">
        <v>874</v>
      </c>
      <c r="D58" s="4" t="s">
        <v>877</v>
      </c>
      <c r="E58" s="4" t="s">
        <v>884</v>
      </c>
      <c r="F58" s="4" t="s">
        <v>878</v>
      </c>
      <c r="G58" s="4" t="s">
        <v>879</v>
      </c>
      <c r="H58" s="6" t="e">
        <f>HYPERLINK("C:/Users/paola/Tesis/04_Bibliography/01_Fenología y umbrales/10 fuentes faltantes/10_Sharma_2022.pdf","Abrir PDF local")</f>
        <v>#VALUE!</v>
      </c>
      <c r="I58" s="6" t="e">
        <f>HYPERLINK("https://doi.org/10.3390/agriculture12091500","Abrir DOI")</f>
        <v>#VALUE!</v>
      </c>
      <c r="J58" s="4" t="s">
        <v>824</v>
      </c>
      <c r="K58" s="4" t="s">
        <v>880</v>
      </c>
    </row>
    <row r="59" spans="1:11" ht="110" customHeight="1">
      <c r="A59" s="4" t="s">
        <v>896</v>
      </c>
      <c r="B59" s="4" t="s">
        <v>486</v>
      </c>
      <c r="C59" s="4" t="s">
        <v>888</v>
      </c>
      <c r="D59" s="4" t="s">
        <v>892</v>
      </c>
      <c r="E59" s="4" t="s">
        <v>889</v>
      </c>
      <c r="F59" s="4" t="s">
        <v>893</v>
      </c>
      <c r="G59" s="4" t="s">
        <v>894</v>
      </c>
      <c r="H59" s="6" t="e">
        <f>HYPERLINK("C:/Users/paola/Tesis/04_Bibliography/01_Fenología y umbrales/10 fuentes faltantes/11_Chen_2022.pdf","Abrir PDF local")</f>
        <v>#VALUE!</v>
      </c>
      <c r="I59" s="6" t="e">
        <f>HYPERLINK("https://doi.org/10.3390/atmos13040596","Abrir DOI")</f>
        <v>#VALUE!</v>
      </c>
      <c r="J59" s="4" t="s">
        <v>890</v>
      </c>
      <c r="K59" s="4" t="s">
        <v>895</v>
      </c>
    </row>
    <row r="60" spans="1:11" ht="110" customHeight="1">
      <c r="A60" s="4" t="s">
        <v>900</v>
      </c>
      <c r="B60" s="4" t="s">
        <v>486</v>
      </c>
      <c r="C60" s="4" t="s">
        <v>888</v>
      </c>
      <c r="D60" s="4" t="s">
        <v>892</v>
      </c>
      <c r="E60" s="4" t="s">
        <v>899</v>
      </c>
      <c r="F60" s="4" t="s">
        <v>893</v>
      </c>
      <c r="G60" s="4" t="s">
        <v>894</v>
      </c>
      <c r="H60" s="6" t="e">
        <f>HYPERLINK("C:/Users/paola/Tesis/04_Bibliography/01_Fenología y umbrales/10 fuentes faltantes/11_Chen_2022.pdf","Abrir PDF local")</f>
        <v>#VALUE!</v>
      </c>
      <c r="I60" s="6" t="e">
        <f>HYPERLINK("https://doi.org/10.3390/atmos13040596","Abrir DOI")</f>
        <v>#VALUE!</v>
      </c>
      <c r="J60" s="4" t="s">
        <v>890</v>
      </c>
      <c r="K60" s="4" t="s">
        <v>895</v>
      </c>
    </row>
    <row r="61" spans="1:11" ht="110" customHeight="1">
      <c r="A61" s="4" t="s">
        <v>925</v>
      </c>
      <c r="B61" s="4" t="s">
        <v>485</v>
      </c>
      <c r="C61" s="4" t="s">
        <v>916</v>
      </c>
      <c r="D61" s="4" t="s">
        <v>921</v>
      </c>
      <c r="E61" s="4" t="s">
        <v>917</v>
      </c>
      <c r="F61" s="4" t="s">
        <v>922</v>
      </c>
      <c r="G61" s="4" t="s">
        <v>923</v>
      </c>
      <c r="H61" s="6" t="e">
        <f>HYPERLINK("C:/Users/paola/Tesis/04_Bibliography/01_Fenología y umbrales/10 fuentes faltantes/12_Martins_2022.pdf","Abrir PDF local")</f>
        <v>#VALUE!</v>
      </c>
      <c r="I61" s="6" t="e">
        <f>HYPERLINK("https://doi.org/10.5433/1679-0359.2022v43n6p2449","Abrir DOI")</f>
        <v>#VALUE!</v>
      </c>
      <c r="J61" s="4" t="s">
        <v>918</v>
      </c>
      <c r="K61" s="4" t="s">
        <v>924</v>
      </c>
    </row>
    <row r="62" spans="1:11" ht="110" customHeight="1">
      <c r="A62" s="4" t="s">
        <v>938</v>
      </c>
      <c r="B62" s="4" t="s">
        <v>483</v>
      </c>
      <c r="C62" s="4" t="s">
        <v>929</v>
      </c>
      <c r="D62" s="4" t="s">
        <v>934</v>
      </c>
      <c r="E62" s="4" t="s">
        <v>930</v>
      </c>
      <c r="F62" s="4" t="s">
        <v>935</v>
      </c>
      <c r="G62" s="4" t="s">
        <v>936</v>
      </c>
      <c r="H62" s="6" t="s">
        <v>754</v>
      </c>
      <c r="I62" s="6" t="e">
        <f>HYPERLINK("https://doi.org/10.1088/1748-9326/ab7b22","Abrir DOI")</f>
        <v>#VALUE!</v>
      </c>
      <c r="J62" s="4" t="s">
        <v>931</v>
      </c>
      <c r="K62" s="4" t="s">
        <v>937</v>
      </c>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D681-FADC-41ED-91D8-CF7F958B627B}">
  <dimension ref="A1:E16"/>
  <sheetViews>
    <sheetView zoomScale="87" workbookViewId="0">
      <selection activeCell="D12" sqref="D12"/>
    </sheetView>
  </sheetViews>
  <sheetFormatPr baseColWidth="10" defaultRowHeight="14"/>
  <cols>
    <col min="1" max="1" width="18.5" customWidth="1"/>
    <col min="2" max="2" width="24.4140625" customWidth="1"/>
    <col min="3" max="3" width="39.58203125" customWidth="1"/>
    <col min="4" max="4" width="19.33203125" customWidth="1"/>
    <col min="5" max="5" width="19.08203125" customWidth="1"/>
  </cols>
  <sheetData>
    <row r="1" spans="1:5">
      <c r="A1" s="12" t="s">
        <v>462</v>
      </c>
      <c r="B1" s="12" t="s">
        <v>463</v>
      </c>
      <c r="C1" s="12" t="s">
        <v>464</v>
      </c>
    </row>
    <row r="2" spans="1:5" ht="28">
      <c r="A2" s="13" t="s">
        <v>465</v>
      </c>
      <c r="B2" s="13" t="s">
        <v>466</v>
      </c>
      <c r="C2" s="9" t="s">
        <v>467</v>
      </c>
    </row>
    <row r="3" spans="1:5" ht="28">
      <c r="A3" s="13" t="s">
        <v>468</v>
      </c>
      <c r="B3" s="13" t="s">
        <v>469</v>
      </c>
      <c r="C3" s="9" t="s">
        <v>470</v>
      </c>
    </row>
    <row r="4" spans="1:5">
      <c r="A4" s="13" t="s">
        <v>471</v>
      </c>
      <c r="B4" s="13" t="s">
        <v>302</v>
      </c>
      <c r="C4" s="9" t="s">
        <v>472</v>
      </c>
    </row>
    <row r="5" spans="1:5" ht="28">
      <c r="A5" s="13" t="s">
        <v>473</v>
      </c>
      <c r="B5" s="13" t="s">
        <v>474</v>
      </c>
      <c r="C5" s="9" t="s">
        <v>475</v>
      </c>
    </row>
    <row r="6" spans="1:5" ht="28">
      <c r="A6" s="13" t="s">
        <v>476</v>
      </c>
      <c r="B6" s="13" t="s">
        <v>477</v>
      </c>
      <c r="C6" s="9" t="s">
        <v>478</v>
      </c>
    </row>
    <row r="7" spans="1:5" ht="28">
      <c r="A7" s="13" t="s">
        <v>479</v>
      </c>
      <c r="B7" s="13" t="s">
        <v>480</v>
      </c>
      <c r="C7" s="9" t="s">
        <v>481</v>
      </c>
    </row>
    <row r="10" spans="1:5">
      <c r="A10" s="12" t="s">
        <v>482</v>
      </c>
      <c r="B10" s="12" t="s">
        <v>483</v>
      </c>
      <c r="C10" s="12" t="s">
        <v>484</v>
      </c>
      <c r="D10" s="12" t="s">
        <v>485</v>
      </c>
      <c r="E10" s="12" t="s">
        <v>486</v>
      </c>
    </row>
    <row r="11" spans="1:5" ht="42">
      <c r="A11" s="13" t="s">
        <v>34</v>
      </c>
      <c r="B11" s="15" t="s">
        <v>487</v>
      </c>
      <c r="C11" s="15" t="s">
        <v>488</v>
      </c>
      <c r="D11" s="15" t="s">
        <v>489</v>
      </c>
      <c r="E11" s="15" t="s">
        <v>490</v>
      </c>
    </row>
    <row r="12" spans="1:5" ht="70">
      <c r="A12" s="13" t="s">
        <v>48</v>
      </c>
      <c r="B12" s="15" t="s">
        <v>491</v>
      </c>
      <c r="C12" s="15" t="s">
        <v>492</v>
      </c>
      <c r="D12" s="15" t="s">
        <v>493</v>
      </c>
      <c r="E12" s="15" t="s">
        <v>494</v>
      </c>
    </row>
    <row r="13" spans="1:5" ht="56">
      <c r="A13" s="13" t="s">
        <v>187</v>
      </c>
      <c r="B13" s="9" t="s">
        <v>495</v>
      </c>
      <c r="C13" s="9" t="s">
        <v>496</v>
      </c>
      <c r="D13" s="15" t="s">
        <v>497</v>
      </c>
      <c r="E13" s="15" t="s">
        <v>498</v>
      </c>
    </row>
    <row r="14" spans="1:5" ht="28">
      <c r="A14" s="13" t="s">
        <v>208</v>
      </c>
      <c r="B14" s="15" t="s">
        <v>499</v>
      </c>
      <c r="C14" s="15" t="s">
        <v>500</v>
      </c>
      <c r="D14" s="15" t="s">
        <v>501</v>
      </c>
      <c r="E14" s="15" t="s">
        <v>502</v>
      </c>
    </row>
    <row r="15" spans="1:5" ht="56">
      <c r="A15" s="13" t="s">
        <v>96</v>
      </c>
      <c r="B15" s="15" t="s">
        <v>503</v>
      </c>
      <c r="C15" s="15" t="s">
        <v>504</v>
      </c>
      <c r="D15" s="15" t="s">
        <v>505</v>
      </c>
      <c r="E15" s="15" t="s">
        <v>506</v>
      </c>
    </row>
    <row r="16" spans="1:5" ht="56">
      <c r="A16" s="13" t="s">
        <v>136</v>
      </c>
      <c r="B16" s="15" t="s">
        <v>507</v>
      </c>
      <c r="C16" s="15" t="s">
        <v>508</v>
      </c>
      <c r="D16" s="9" t="s">
        <v>509</v>
      </c>
      <c r="E16" s="15" t="s">
        <v>510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3872-07A8-41E8-B8DB-C5B47B2B6C73}">
  <dimension ref="A1:K99"/>
  <sheetViews>
    <sheetView showGridLines="0" topLeftCell="A11" zoomScale="68" workbookViewId="0">
      <selection sqref="A1:K1"/>
    </sheetView>
  </sheetViews>
  <sheetFormatPr baseColWidth="10" defaultColWidth="8.6640625" defaultRowHeight="14"/>
  <cols>
    <col min="1" max="1" width="12" customWidth="1"/>
    <col min="2" max="2" width="27" customWidth="1"/>
    <col min="3" max="3" width="17" customWidth="1"/>
    <col min="4" max="4" width="20" customWidth="1"/>
    <col min="5" max="5" width="21" customWidth="1"/>
    <col min="6" max="6" width="24" customWidth="1"/>
    <col min="7" max="7" width="25" customWidth="1"/>
    <col min="8" max="8" width="36" customWidth="1"/>
    <col min="9" max="9" width="63" customWidth="1"/>
    <col min="10" max="10" width="58" customWidth="1"/>
    <col min="11" max="11" width="62" customWidth="1"/>
  </cols>
  <sheetData>
    <row r="1" spans="1:11" ht="18">
      <c r="A1" s="50" t="s">
        <v>511</v>
      </c>
      <c r="B1" s="50"/>
      <c r="C1" s="50"/>
      <c r="D1" s="50"/>
      <c r="E1" s="50"/>
      <c r="F1" s="50"/>
      <c r="G1" s="50"/>
      <c r="H1" s="50"/>
      <c r="I1" s="50"/>
      <c r="J1" s="50"/>
      <c r="K1" s="50"/>
    </row>
    <row r="2" spans="1:11">
      <c r="A2" s="49" t="s">
        <v>731</v>
      </c>
      <c r="B2" s="49"/>
      <c r="C2" s="49"/>
      <c r="D2" s="49"/>
      <c r="E2" s="49"/>
      <c r="F2" s="49"/>
      <c r="G2" s="49"/>
      <c r="H2" s="49"/>
      <c r="I2" s="49"/>
      <c r="J2" s="49"/>
      <c r="K2" s="16"/>
    </row>
    <row r="3" spans="1:11">
      <c r="A3" s="49" t="s">
        <v>512</v>
      </c>
      <c r="B3" s="49"/>
      <c r="C3" s="49"/>
      <c r="D3" s="49"/>
      <c r="E3" s="49"/>
      <c r="F3" s="49"/>
      <c r="G3" s="49"/>
      <c r="H3" s="49"/>
      <c r="I3" s="49"/>
      <c r="J3" s="49"/>
      <c r="K3" s="16"/>
    </row>
    <row r="4" spans="1:11">
      <c r="A4" s="49" t="s">
        <v>513</v>
      </c>
      <c r="B4" s="49"/>
      <c r="C4" s="49"/>
      <c r="D4" s="49"/>
      <c r="E4" s="49"/>
      <c r="F4" s="49"/>
      <c r="G4" s="49"/>
      <c r="H4" s="49"/>
      <c r="I4" s="49"/>
      <c r="J4" s="49"/>
      <c r="K4" s="16"/>
    </row>
    <row r="5" spans="1:11">
      <c r="A5" s="49" t="s">
        <v>942</v>
      </c>
      <c r="B5" s="49"/>
      <c r="C5" s="49"/>
      <c r="D5" s="49"/>
      <c r="E5" s="49"/>
      <c r="F5" s="49"/>
      <c r="G5" s="49"/>
      <c r="H5" s="49"/>
      <c r="I5" s="49"/>
      <c r="J5" s="49"/>
      <c r="K5" s="16"/>
    </row>
    <row r="6" spans="1:11">
      <c r="A6" s="49" t="s">
        <v>732</v>
      </c>
      <c r="B6" s="49"/>
      <c r="C6" s="49"/>
      <c r="D6" s="49"/>
      <c r="E6" s="49"/>
      <c r="F6" s="49"/>
      <c r="G6" s="49"/>
      <c r="H6" s="49"/>
      <c r="I6" s="49"/>
      <c r="J6" s="49"/>
      <c r="K6" s="16"/>
    </row>
    <row r="7" spans="1:11">
      <c r="A7" s="49" t="s">
        <v>514</v>
      </c>
      <c r="B7" s="49"/>
      <c r="C7" s="49"/>
      <c r="D7" s="49"/>
      <c r="E7" s="49"/>
      <c r="F7" s="49"/>
      <c r="G7" s="49"/>
      <c r="H7" s="49"/>
      <c r="I7" s="49"/>
      <c r="J7" s="49"/>
      <c r="K7" s="16"/>
    </row>
    <row r="8" spans="1:11">
      <c r="A8" s="16"/>
      <c r="B8" s="16"/>
      <c r="C8" s="16"/>
      <c r="D8" s="16"/>
      <c r="E8" s="16"/>
      <c r="F8" s="16"/>
      <c r="G8" s="16"/>
      <c r="H8" s="16"/>
      <c r="I8" s="16"/>
      <c r="J8" s="16"/>
      <c r="K8" s="16"/>
    </row>
    <row r="9" spans="1:11" ht="26">
      <c r="A9" s="17" t="s">
        <v>1</v>
      </c>
      <c r="B9" s="17" t="s">
        <v>482</v>
      </c>
      <c r="C9" s="17" t="s">
        <v>515</v>
      </c>
      <c r="D9" s="17" t="s">
        <v>516</v>
      </c>
      <c r="E9" s="17" t="s">
        <v>517</v>
      </c>
      <c r="F9" s="17" t="s">
        <v>518</v>
      </c>
      <c r="G9" s="17" t="s">
        <v>519</v>
      </c>
      <c r="H9" s="17" t="s">
        <v>520</v>
      </c>
      <c r="I9" s="17" t="s">
        <v>521</v>
      </c>
      <c r="J9" s="17" t="s">
        <v>522</v>
      </c>
      <c r="K9" s="16"/>
    </row>
    <row r="10" spans="1:11">
      <c r="A10" s="18" t="s">
        <v>483</v>
      </c>
      <c r="B10" s="18" t="s">
        <v>34</v>
      </c>
      <c r="C10" s="18">
        <v>1</v>
      </c>
      <c r="D10" s="18">
        <v>1</v>
      </c>
      <c r="E10" s="18">
        <v>1</v>
      </c>
      <c r="F10" s="18">
        <v>0</v>
      </c>
      <c r="G10" s="18" t="s">
        <v>523</v>
      </c>
      <c r="H10" s="18" t="s">
        <v>524</v>
      </c>
      <c r="I10" s="18" t="s">
        <v>525</v>
      </c>
      <c r="J10" s="18" t="s">
        <v>30</v>
      </c>
      <c r="K10" s="16"/>
    </row>
    <row r="11" spans="1:11" ht="25">
      <c r="A11" s="16" t="s">
        <v>483</v>
      </c>
      <c r="B11" s="16" t="s">
        <v>48</v>
      </c>
      <c r="C11" s="16">
        <v>2</v>
      </c>
      <c r="D11" s="16">
        <v>2</v>
      </c>
      <c r="E11" s="16">
        <v>2</v>
      </c>
      <c r="F11" s="16">
        <v>0</v>
      </c>
      <c r="G11" s="16" t="s">
        <v>523</v>
      </c>
      <c r="H11" s="16" t="s">
        <v>526</v>
      </c>
      <c r="I11" s="16" t="s">
        <v>525</v>
      </c>
      <c r="J11" s="16" t="s">
        <v>527</v>
      </c>
      <c r="K11" s="16"/>
    </row>
    <row r="12" spans="1:11" ht="25">
      <c r="A12" s="18" t="s">
        <v>483</v>
      </c>
      <c r="B12" s="18" t="s">
        <v>208</v>
      </c>
      <c r="C12" s="18">
        <v>2</v>
      </c>
      <c r="D12" s="18">
        <v>2</v>
      </c>
      <c r="E12" s="18">
        <v>2</v>
      </c>
      <c r="F12" s="18">
        <v>0</v>
      </c>
      <c r="G12" s="18" t="s">
        <v>523</v>
      </c>
      <c r="H12" s="18" t="s">
        <v>528</v>
      </c>
      <c r="I12" s="18" t="s">
        <v>525</v>
      </c>
      <c r="J12" s="18" t="s">
        <v>529</v>
      </c>
      <c r="K12" s="16"/>
    </row>
    <row r="13" spans="1:11">
      <c r="A13" s="16" t="s">
        <v>483</v>
      </c>
      <c r="B13" s="16" t="s">
        <v>187</v>
      </c>
      <c r="C13" s="16">
        <v>3</v>
      </c>
      <c r="D13" s="16">
        <v>1</v>
      </c>
      <c r="E13" s="16">
        <v>1</v>
      </c>
      <c r="F13" s="16">
        <v>2</v>
      </c>
      <c r="G13" s="16" t="s">
        <v>733</v>
      </c>
      <c r="H13" s="16" t="s">
        <v>734</v>
      </c>
      <c r="I13" s="16" t="s">
        <v>528</v>
      </c>
      <c r="J13" s="16" t="s">
        <v>727</v>
      </c>
      <c r="K13" s="16"/>
    </row>
    <row r="14" spans="1:11" ht="37.5">
      <c r="A14" s="18" t="s">
        <v>483</v>
      </c>
      <c r="B14" s="18" t="s">
        <v>96</v>
      </c>
      <c r="C14" s="18">
        <v>4</v>
      </c>
      <c r="D14" s="18">
        <v>4</v>
      </c>
      <c r="E14" s="18">
        <v>3</v>
      </c>
      <c r="F14" s="18">
        <v>0</v>
      </c>
      <c r="G14" s="18" t="s">
        <v>523</v>
      </c>
      <c r="H14" s="18" t="s">
        <v>530</v>
      </c>
      <c r="I14" s="18" t="s">
        <v>525</v>
      </c>
      <c r="J14" s="18" t="s">
        <v>531</v>
      </c>
      <c r="K14" s="16"/>
    </row>
    <row r="15" spans="1:11">
      <c r="A15" s="16" t="s">
        <v>483</v>
      </c>
      <c r="B15" s="16" t="s">
        <v>136</v>
      </c>
      <c r="C15" s="16">
        <v>1</v>
      </c>
      <c r="D15" s="16">
        <v>1</v>
      </c>
      <c r="E15" s="16">
        <v>1</v>
      </c>
      <c r="F15" s="16">
        <v>0</v>
      </c>
      <c r="G15" s="16" t="s">
        <v>523</v>
      </c>
      <c r="H15" s="16" t="s">
        <v>532</v>
      </c>
      <c r="I15" s="16" t="s">
        <v>525</v>
      </c>
      <c r="J15" s="16" t="s">
        <v>133</v>
      </c>
      <c r="K15" s="16"/>
    </row>
    <row r="16" spans="1:11">
      <c r="A16" s="18" t="s">
        <v>484</v>
      </c>
      <c r="B16" s="18" t="s">
        <v>34</v>
      </c>
      <c r="C16" s="18">
        <v>1</v>
      </c>
      <c r="D16" s="18">
        <v>1</v>
      </c>
      <c r="E16" s="18">
        <v>1</v>
      </c>
      <c r="F16" s="18">
        <v>0</v>
      </c>
      <c r="G16" s="18" t="s">
        <v>523</v>
      </c>
      <c r="H16" s="18" t="s">
        <v>533</v>
      </c>
      <c r="I16" s="18" t="s">
        <v>525</v>
      </c>
      <c r="J16" s="18" t="s">
        <v>145</v>
      </c>
      <c r="K16" s="16"/>
    </row>
    <row r="17" spans="1:11" ht="25">
      <c r="A17" s="16" t="s">
        <v>484</v>
      </c>
      <c r="B17" s="16" t="s">
        <v>48</v>
      </c>
      <c r="C17" s="16">
        <v>4</v>
      </c>
      <c r="D17" s="16">
        <v>4</v>
      </c>
      <c r="E17" s="16">
        <v>2</v>
      </c>
      <c r="F17" s="16">
        <v>0</v>
      </c>
      <c r="G17" s="16" t="s">
        <v>523</v>
      </c>
      <c r="H17" s="16" t="s">
        <v>534</v>
      </c>
      <c r="I17" s="16" t="s">
        <v>525</v>
      </c>
      <c r="J17" s="16" t="s">
        <v>535</v>
      </c>
      <c r="K17" s="16"/>
    </row>
    <row r="18" spans="1:11" ht="75">
      <c r="A18" s="18" t="s">
        <v>484</v>
      </c>
      <c r="B18" s="18" t="s">
        <v>208</v>
      </c>
      <c r="C18" s="18">
        <v>6</v>
      </c>
      <c r="D18" s="18">
        <v>6</v>
      </c>
      <c r="E18" s="18">
        <v>6</v>
      </c>
      <c r="F18" s="18">
        <v>0</v>
      </c>
      <c r="G18" s="18" t="s">
        <v>523</v>
      </c>
      <c r="H18" s="18" t="s">
        <v>536</v>
      </c>
      <c r="I18" s="18" t="s">
        <v>525</v>
      </c>
      <c r="J18" s="18" t="s">
        <v>537</v>
      </c>
      <c r="K18" s="16"/>
    </row>
    <row r="19" spans="1:11" ht="50">
      <c r="A19" s="16" t="s">
        <v>484</v>
      </c>
      <c r="B19" s="16" t="s">
        <v>187</v>
      </c>
      <c r="C19" s="16">
        <v>6</v>
      </c>
      <c r="D19" s="16">
        <v>4</v>
      </c>
      <c r="E19" s="16">
        <v>4</v>
      </c>
      <c r="F19" s="16">
        <v>2</v>
      </c>
      <c r="G19" s="16" t="s">
        <v>523</v>
      </c>
      <c r="H19" s="16" t="s">
        <v>538</v>
      </c>
      <c r="I19" s="16" t="s">
        <v>539</v>
      </c>
      <c r="J19" s="16" t="s">
        <v>540</v>
      </c>
      <c r="K19" s="16"/>
    </row>
    <row r="20" spans="1:11" ht="25">
      <c r="A20" s="18" t="s">
        <v>484</v>
      </c>
      <c r="B20" s="18" t="s">
        <v>96</v>
      </c>
      <c r="C20" s="18">
        <v>2</v>
      </c>
      <c r="D20" s="18">
        <v>2</v>
      </c>
      <c r="E20" s="18">
        <v>2</v>
      </c>
      <c r="F20" s="18">
        <v>0</v>
      </c>
      <c r="G20" s="18" t="s">
        <v>523</v>
      </c>
      <c r="H20" s="18" t="s">
        <v>541</v>
      </c>
      <c r="I20" s="18" t="s">
        <v>525</v>
      </c>
      <c r="J20" s="18" t="s">
        <v>542</v>
      </c>
      <c r="K20" s="16"/>
    </row>
    <row r="21" spans="1:11">
      <c r="A21" s="16" t="s">
        <v>484</v>
      </c>
      <c r="B21" s="16" t="s">
        <v>136</v>
      </c>
      <c r="C21" s="16">
        <v>1</v>
      </c>
      <c r="D21" s="16">
        <v>1</v>
      </c>
      <c r="E21" s="16">
        <v>1</v>
      </c>
      <c r="F21" s="16">
        <v>0</v>
      </c>
      <c r="G21" s="16" t="s">
        <v>543</v>
      </c>
      <c r="H21" s="16" t="s">
        <v>544</v>
      </c>
      <c r="I21" s="16" t="s">
        <v>525</v>
      </c>
      <c r="J21" s="16" t="s">
        <v>261</v>
      </c>
      <c r="K21" s="16"/>
    </row>
    <row r="22" spans="1:11" ht="25">
      <c r="A22" s="18" t="s">
        <v>485</v>
      </c>
      <c r="B22" s="18" t="s">
        <v>34</v>
      </c>
      <c r="C22" s="18">
        <v>3</v>
      </c>
      <c r="D22" s="18">
        <v>2</v>
      </c>
      <c r="E22" s="18">
        <v>2</v>
      </c>
      <c r="F22" s="18">
        <v>1</v>
      </c>
      <c r="G22" s="18" t="s">
        <v>523</v>
      </c>
      <c r="H22" s="18" t="s">
        <v>545</v>
      </c>
      <c r="I22" s="18" t="s">
        <v>546</v>
      </c>
      <c r="J22" s="18" t="s">
        <v>547</v>
      </c>
      <c r="K22" s="16"/>
    </row>
    <row r="23" spans="1:11">
      <c r="A23" s="16" t="s">
        <v>485</v>
      </c>
      <c r="B23" s="16" t="s">
        <v>48</v>
      </c>
      <c r="C23" s="16">
        <v>2</v>
      </c>
      <c r="D23" s="16">
        <v>1</v>
      </c>
      <c r="E23" s="16">
        <v>1</v>
      </c>
      <c r="F23" s="16">
        <v>1</v>
      </c>
      <c r="G23" s="16" t="s">
        <v>523</v>
      </c>
      <c r="H23" s="16" t="s">
        <v>548</v>
      </c>
      <c r="I23" s="16" t="s">
        <v>549</v>
      </c>
      <c r="J23" s="16" t="s">
        <v>294</v>
      </c>
      <c r="K23" s="16"/>
    </row>
    <row r="24" spans="1:11" ht="50">
      <c r="A24" s="18" t="s">
        <v>485</v>
      </c>
      <c r="B24" s="18" t="s">
        <v>208</v>
      </c>
      <c r="C24" s="18">
        <v>4</v>
      </c>
      <c r="D24" s="18">
        <v>4</v>
      </c>
      <c r="E24" s="18">
        <v>4</v>
      </c>
      <c r="F24" s="18">
        <v>0</v>
      </c>
      <c r="G24" s="18" t="s">
        <v>523</v>
      </c>
      <c r="H24" s="18" t="s">
        <v>550</v>
      </c>
      <c r="I24" s="18" t="s">
        <v>525</v>
      </c>
      <c r="J24" s="18" t="s">
        <v>551</v>
      </c>
      <c r="K24" s="16"/>
    </row>
    <row r="25" spans="1:11" ht="25">
      <c r="A25" s="16" t="s">
        <v>485</v>
      </c>
      <c r="B25" s="16" t="s">
        <v>187</v>
      </c>
      <c r="C25" s="16">
        <v>6</v>
      </c>
      <c r="D25" s="16">
        <v>4</v>
      </c>
      <c r="E25" s="16">
        <v>2</v>
      </c>
      <c r="F25" s="16">
        <v>2</v>
      </c>
      <c r="G25" s="16" t="s">
        <v>523</v>
      </c>
      <c r="H25" s="16" t="s">
        <v>552</v>
      </c>
      <c r="I25" s="16" t="s">
        <v>553</v>
      </c>
      <c r="J25" s="16" t="s">
        <v>554</v>
      </c>
      <c r="K25" s="16"/>
    </row>
    <row r="26" spans="1:11" ht="25">
      <c r="A26" s="18" t="s">
        <v>485</v>
      </c>
      <c r="B26" s="18" t="s">
        <v>96</v>
      </c>
      <c r="C26" s="18">
        <v>5</v>
      </c>
      <c r="D26" s="18">
        <v>4</v>
      </c>
      <c r="E26" s="18">
        <v>2</v>
      </c>
      <c r="F26" s="18">
        <v>1</v>
      </c>
      <c r="G26" s="18" t="s">
        <v>523</v>
      </c>
      <c r="H26" s="18" t="s">
        <v>555</v>
      </c>
      <c r="I26" s="18" t="s">
        <v>556</v>
      </c>
      <c r="J26" s="18" t="s">
        <v>557</v>
      </c>
      <c r="K26" s="16"/>
    </row>
    <row r="27" spans="1:11">
      <c r="A27" s="16" t="s">
        <v>485</v>
      </c>
      <c r="B27" s="16" t="s">
        <v>136</v>
      </c>
      <c r="C27" s="16">
        <v>3</v>
      </c>
      <c r="D27" s="16">
        <v>1</v>
      </c>
      <c r="E27" s="16">
        <v>1</v>
      </c>
      <c r="F27" s="16">
        <v>2</v>
      </c>
      <c r="G27" s="16" t="s">
        <v>558</v>
      </c>
      <c r="H27" s="16" t="s">
        <v>559</v>
      </c>
      <c r="I27" s="16" t="s">
        <v>560</v>
      </c>
      <c r="J27" s="16" t="s">
        <v>342</v>
      </c>
      <c r="K27" s="16"/>
    </row>
    <row r="28" spans="1:11">
      <c r="A28" s="18" t="s">
        <v>486</v>
      </c>
      <c r="B28" s="18" t="s">
        <v>34</v>
      </c>
      <c r="C28" s="18">
        <v>1</v>
      </c>
      <c r="D28" s="18">
        <v>1</v>
      </c>
      <c r="E28" s="18">
        <v>1</v>
      </c>
      <c r="F28" s="18">
        <v>0</v>
      </c>
      <c r="G28" s="18" t="s">
        <v>523</v>
      </c>
      <c r="H28" s="18" t="s">
        <v>561</v>
      </c>
      <c r="I28" s="18" t="s">
        <v>525</v>
      </c>
      <c r="J28" s="18" t="s">
        <v>360</v>
      </c>
      <c r="K28" s="16"/>
    </row>
    <row r="29" spans="1:11">
      <c r="A29" s="16" t="s">
        <v>486</v>
      </c>
      <c r="B29" s="16" t="s">
        <v>48</v>
      </c>
      <c r="C29" s="16">
        <v>2</v>
      </c>
      <c r="D29" s="16">
        <v>1</v>
      </c>
      <c r="E29" s="16">
        <v>1</v>
      </c>
      <c r="F29" s="16">
        <v>1</v>
      </c>
      <c r="G29" s="16" t="s">
        <v>523</v>
      </c>
      <c r="H29" s="16" t="s">
        <v>562</v>
      </c>
      <c r="I29" s="16" t="s">
        <v>563</v>
      </c>
      <c r="J29" s="16" t="s">
        <v>375</v>
      </c>
      <c r="K29" s="16"/>
    </row>
    <row r="30" spans="1:11" ht="50">
      <c r="A30" s="18" t="s">
        <v>486</v>
      </c>
      <c r="B30" s="18" t="s">
        <v>208</v>
      </c>
      <c r="C30" s="18">
        <v>4</v>
      </c>
      <c r="D30" s="18">
        <v>4</v>
      </c>
      <c r="E30" s="18">
        <v>4</v>
      </c>
      <c r="F30" s="18">
        <v>0</v>
      </c>
      <c r="G30" s="18" t="s">
        <v>523</v>
      </c>
      <c r="H30" s="18" t="s">
        <v>564</v>
      </c>
      <c r="I30" s="18" t="s">
        <v>525</v>
      </c>
      <c r="J30" s="18" t="s">
        <v>565</v>
      </c>
      <c r="K30" s="16"/>
    </row>
    <row r="31" spans="1:11" ht="37.5">
      <c r="A31" s="16" t="s">
        <v>486</v>
      </c>
      <c r="B31" s="16" t="s">
        <v>187</v>
      </c>
      <c r="C31" s="16">
        <v>3</v>
      </c>
      <c r="D31" s="16">
        <v>3</v>
      </c>
      <c r="E31" s="16">
        <v>3</v>
      </c>
      <c r="F31" s="16">
        <v>0</v>
      </c>
      <c r="G31" s="16" t="s">
        <v>523</v>
      </c>
      <c r="H31" s="16" t="s">
        <v>566</v>
      </c>
      <c r="I31" s="16" t="s">
        <v>525</v>
      </c>
      <c r="J31" s="16" t="s">
        <v>567</v>
      </c>
      <c r="K31" s="16"/>
    </row>
    <row r="32" spans="1:11" ht="25">
      <c r="A32" s="18" t="s">
        <v>486</v>
      </c>
      <c r="B32" s="18" t="s">
        <v>96</v>
      </c>
      <c r="C32" s="18">
        <v>2</v>
      </c>
      <c r="D32" s="18">
        <v>2</v>
      </c>
      <c r="E32" s="18">
        <v>2</v>
      </c>
      <c r="F32" s="18">
        <v>0</v>
      </c>
      <c r="G32" s="18" t="s">
        <v>523</v>
      </c>
      <c r="H32" s="18" t="s">
        <v>568</v>
      </c>
      <c r="I32" s="18" t="s">
        <v>525</v>
      </c>
      <c r="J32" s="18" t="s">
        <v>569</v>
      </c>
      <c r="K32" s="16"/>
    </row>
    <row r="33" spans="1:11">
      <c r="A33" s="16" t="s">
        <v>486</v>
      </c>
      <c r="B33" s="16" t="s">
        <v>136</v>
      </c>
      <c r="C33" s="16">
        <v>1</v>
      </c>
      <c r="D33" s="16">
        <v>1</v>
      </c>
      <c r="E33" s="16">
        <v>1</v>
      </c>
      <c r="F33" s="16">
        <v>0</v>
      </c>
      <c r="G33" s="16" t="s">
        <v>523</v>
      </c>
      <c r="H33" s="16" t="s">
        <v>570</v>
      </c>
      <c r="I33" s="16" t="s">
        <v>525</v>
      </c>
      <c r="J33" s="16" t="s">
        <v>454</v>
      </c>
      <c r="K33" s="16"/>
    </row>
    <row r="34" spans="1:11">
      <c r="A34" s="16"/>
      <c r="B34" s="16"/>
      <c r="C34" s="16"/>
      <c r="D34" s="16"/>
      <c r="E34" s="16"/>
      <c r="F34" s="16"/>
      <c r="G34" s="16"/>
      <c r="H34" s="16"/>
      <c r="I34" s="16"/>
      <c r="J34" s="16"/>
      <c r="K34" s="16"/>
    </row>
    <row r="35" spans="1:11" ht="18">
      <c r="A35" s="50" t="s">
        <v>571</v>
      </c>
      <c r="B35" s="50"/>
      <c r="C35" s="50"/>
      <c r="D35" s="50"/>
      <c r="E35" s="50"/>
      <c r="F35" s="50"/>
      <c r="G35" s="50"/>
      <c r="H35" s="50"/>
      <c r="I35" s="50"/>
      <c r="J35" s="50"/>
      <c r="K35" s="50"/>
    </row>
    <row r="36" spans="1:11">
      <c r="A36" s="17" t="s">
        <v>572</v>
      </c>
      <c r="B36" s="17" t="s">
        <v>1</v>
      </c>
      <c r="C36" s="17" t="s">
        <v>573</v>
      </c>
      <c r="D36" s="17" t="s">
        <v>574</v>
      </c>
      <c r="E36" s="17" t="s">
        <v>575</v>
      </c>
      <c r="F36" s="17" t="s">
        <v>576</v>
      </c>
      <c r="G36" s="17" t="s">
        <v>577</v>
      </c>
      <c r="H36" s="17" t="s">
        <v>578</v>
      </c>
      <c r="I36" s="17" t="s">
        <v>579</v>
      </c>
      <c r="J36" s="17" t="s">
        <v>15</v>
      </c>
      <c r="K36" s="17" t="s">
        <v>580</v>
      </c>
    </row>
    <row r="37" spans="1:11" ht="25">
      <c r="A37" s="16">
        <v>5</v>
      </c>
      <c r="B37" s="16" t="s">
        <v>483</v>
      </c>
      <c r="C37" s="16" t="s">
        <v>20</v>
      </c>
      <c r="D37" s="16" t="s">
        <v>465</v>
      </c>
      <c r="E37" s="16" t="s">
        <v>465</v>
      </c>
      <c r="F37" s="16" t="s">
        <v>581</v>
      </c>
      <c r="G37" s="16" t="s">
        <v>465</v>
      </c>
      <c r="H37" s="16" t="s">
        <v>582</v>
      </c>
      <c r="I37" s="16" t="s">
        <v>583</v>
      </c>
      <c r="J37" s="16" t="s">
        <v>30</v>
      </c>
      <c r="K37" s="16" t="s">
        <v>23</v>
      </c>
    </row>
    <row r="38" spans="1:11" ht="25">
      <c r="A38" s="18">
        <v>6</v>
      </c>
      <c r="B38" s="18" t="s">
        <v>483</v>
      </c>
      <c r="C38" s="18" t="s">
        <v>35</v>
      </c>
      <c r="D38" s="18" t="s">
        <v>468</v>
      </c>
      <c r="E38" s="18" t="s">
        <v>468</v>
      </c>
      <c r="F38" s="18" t="s">
        <v>581</v>
      </c>
      <c r="G38" s="18" t="s">
        <v>468</v>
      </c>
      <c r="H38" s="18" t="s">
        <v>584</v>
      </c>
      <c r="I38" s="18" t="s">
        <v>585</v>
      </c>
      <c r="J38" s="18" t="s">
        <v>45</v>
      </c>
      <c r="K38" s="18" t="s">
        <v>38</v>
      </c>
    </row>
    <row r="39" spans="1:11" ht="25">
      <c r="A39" s="16">
        <v>7</v>
      </c>
      <c r="B39" s="16" t="s">
        <v>483</v>
      </c>
      <c r="C39" s="16" t="s">
        <v>49</v>
      </c>
      <c r="D39" s="16" t="s">
        <v>468</v>
      </c>
      <c r="E39" s="16" t="s">
        <v>468</v>
      </c>
      <c r="F39" s="16" t="s">
        <v>581</v>
      </c>
      <c r="G39" s="16" t="s">
        <v>468</v>
      </c>
      <c r="H39" s="16" t="s">
        <v>586</v>
      </c>
      <c r="I39" s="16" t="s">
        <v>587</v>
      </c>
      <c r="J39" s="16" t="s">
        <v>59</v>
      </c>
      <c r="K39" s="16" t="s">
        <v>52</v>
      </c>
    </row>
    <row r="40" spans="1:11" ht="25">
      <c r="A40" s="18">
        <v>8</v>
      </c>
      <c r="B40" s="18" t="s">
        <v>483</v>
      </c>
      <c r="C40" s="18" t="s">
        <v>62</v>
      </c>
      <c r="D40" s="18" t="s">
        <v>471</v>
      </c>
      <c r="E40" s="18" t="s">
        <v>588</v>
      </c>
      <c r="F40" s="18" t="s">
        <v>589</v>
      </c>
      <c r="G40" s="18" t="s">
        <v>471</v>
      </c>
      <c r="H40" s="18" t="s">
        <v>590</v>
      </c>
      <c r="I40" s="18" t="s">
        <v>591</v>
      </c>
      <c r="J40" s="18" t="s">
        <v>72</v>
      </c>
      <c r="K40" s="18" t="s">
        <v>65</v>
      </c>
    </row>
    <row r="41" spans="1:11" ht="25">
      <c r="A41" s="16">
        <v>9</v>
      </c>
      <c r="B41" s="16" t="s">
        <v>483</v>
      </c>
      <c r="C41" s="16" t="s">
        <v>62</v>
      </c>
      <c r="D41" s="16" t="s">
        <v>471</v>
      </c>
      <c r="E41" s="16" t="s">
        <v>588</v>
      </c>
      <c r="F41" s="16" t="s">
        <v>589</v>
      </c>
      <c r="G41" s="16" t="s">
        <v>471</v>
      </c>
      <c r="H41" s="16" t="s">
        <v>592</v>
      </c>
      <c r="I41" s="16" t="s">
        <v>593</v>
      </c>
      <c r="J41" s="16" t="s">
        <v>82</v>
      </c>
      <c r="K41" s="16" t="s">
        <v>77</v>
      </c>
    </row>
    <row r="42" spans="1:11" ht="25">
      <c r="A42" s="18">
        <v>10</v>
      </c>
      <c r="B42" s="18" t="s">
        <v>483</v>
      </c>
      <c r="C42" s="18" t="s">
        <v>84</v>
      </c>
      <c r="D42" s="18" t="s">
        <v>476</v>
      </c>
      <c r="E42" s="18" t="s">
        <v>476</v>
      </c>
      <c r="F42" s="18" t="s">
        <v>581</v>
      </c>
      <c r="G42" s="18" t="s">
        <v>476</v>
      </c>
      <c r="H42" s="18" t="s">
        <v>594</v>
      </c>
      <c r="I42" s="18" t="s">
        <v>595</v>
      </c>
      <c r="J42" s="18" t="s">
        <v>93</v>
      </c>
      <c r="K42" s="18" t="s">
        <v>87</v>
      </c>
    </row>
    <row r="43" spans="1:11" ht="25">
      <c r="A43" s="16">
        <v>11</v>
      </c>
      <c r="B43" s="16" t="s">
        <v>483</v>
      </c>
      <c r="C43" s="16" t="s">
        <v>97</v>
      </c>
      <c r="D43" s="16" t="s">
        <v>476</v>
      </c>
      <c r="E43" s="16" t="s">
        <v>476</v>
      </c>
      <c r="F43" s="16" t="s">
        <v>581</v>
      </c>
      <c r="G43" s="16" t="s">
        <v>476</v>
      </c>
      <c r="H43" s="16" t="s">
        <v>594</v>
      </c>
      <c r="I43" s="16" t="s">
        <v>596</v>
      </c>
      <c r="J43" s="16" t="s">
        <v>93</v>
      </c>
      <c r="K43" s="16" t="s">
        <v>87</v>
      </c>
    </row>
    <row r="44" spans="1:11" ht="37.5">
      <c r="A44" s="18">
        <v>12</v>
      </c>
      <c r="B44" s="18" t="s">
        <v>483</v>
      </c>
      <c r="C44" s="18" t="s">
        <v>100</v>
      </c>
      <c r="D44" s="18" t="s">
        <v>476</v>
      </c>
      <c r="E44" s="18" t="s">
        <v>476</v>
      </c>
      <c r="F44" s="18" t="s">
        <v>581</v>
      </c>
      <c r="G44" s="18" t="s">
        <v>476</v>
      </c>
      <c r="H44" s="18" t="s">
        <v>597</v>
      </c>
      <c r="I44" s="18" t="s">
        <v>598</v>
      </c>
      <c r="J44" s="18" t="s">
        <v>109</v>
      </c>
      <c r="K44" s="18" t="s">
        <v>103</v>
      </c>
    </row>
    <row r="45" spans="1:11" ht="25">
      <c r="A45" s="16">
        <v>13</v>
      </c>
      <c r="B45" s="16" t="s">
        <v>483</v>
      </c>
      <c r="C45" s="16" t="s">
        <v>100</v>
      </c>
      <c r="D45" s="16" t="s">
        <v>476</v>
      </c>
      <c r="E45" s="16" t="s">
        <v>476</v>
      </c>
      <c r="F45" s="16" t="s">
        <v>581</v>
      </c>
      <c r="G45" s="16" t="s">
        <v>476</v>
      </c>
      <c r="H45" s="16" t="s">
        <v>599</v>
      </c>
      <c r="I45" s="16" t="s">
        <v>600</v>
      </c>
      <c r="J45" s="16" t="s">
        <v>120</v>
      </c>
      <c r="K45" s="16" t="s">
        <v>113</v>
      </c>
    </row>
    <row r="46" spans="1:11" ht="25">
      <c r="A46" s="18">
        <v>14</v>
      </c>
      <c r="B46" s="18" t="s">
        <v>483</v>
      </c>
      <c r="C46" s="18" t="s">
        <v>123</v>
      </c>
      <c r="D46" s="18" t="s">
        <v>479</v>
      </c>
      <c r="E46" s="18" t="s">
        <v>479</v>
      </c>
      <c r="F46" s="18" t="s">
        <v>581</v>
      </c>
      <c r="G46" s="18" t="s">
        <v>479</v>
      </c>
      <c r="H46" s="18" t="s">
        <v>601</v>
      </c>
      <c r="I46" s="18" t="s">
        <v>602</v>
      </c>
      <c r="J46" s="18" t="s">
        <v>133</v>
      </c>
      <c r="K46" s="18" t="s">
        <v>126</v>
      </c>
    </row>
    <row r="47" spans="1:11">
      <c r="A47" s="16">
        <v>15</v>
      </c>
      <c r="B47" s="16" t="s">
        <v>484</v>
      </c>
      <c r="C47" s="16" t="s">
        <v>137</v>
      </c>
      <c r="D47" s="16" t="s">
        <v>465</v>
      </c>
      <c r="E47" s="16" t="s">
        <v>465</v>
      </c>
      <c r="F47" s="16" t="s">
        <v>581</v>
      </c>
      <c r="G47" s="16" t="s">
        <v>465</v>
      </c>
      <c r="H47" s="16" t="s">
        <v>603</v>
      </c>
      <c r="I47" s="16" t="s">
        <v>604</v>
      </c>
      <c r="J47" s="16" t="s">
        <v>145</v>
      </c>
      <c r="K47" s="16" t="s">
        <v>139</v>
      </c>
    </row>
    <row r="48" spans="1:11" ht="25">
      <c r="A48" s="18">
        <v>16</v>
      </c>
      <c r="B48" s="18" t="s">
        <v>484</v>
      </c>
      <c r="C48" s="18" t="s">
        <v>148</v>
      </c>
      <c r="D48" s="18" t="s">
        <v>605</v>
      </c>
      <c r="E48" s="18" t="s">
        <v>468</v>
      </c>
      <c r="F48" s="18" t="s">
        <v>581</v>
      </c>
      <c r="G48" s="18" t="s">
        <v>468</v>
      </c>
      <c r="H48" s="18" t="s">
        <v>606</v>
      </c>
      <c r="I48" s="18" t="s">
        <v>607</v>
      </c>
      <c r="J48" s="18" t="s">
        <v>158</v>
      </c>
      <c r="K48" s="18" t="s">
        <v>151</v>
      </c>
    </row>
    <row r="49" spans="1:11" ht="25">
      <c r="A49" s="16">
        <v>17</v>
      </c>
      <c r="B49" s="16" t="s">
        <v>484</v>
      </c>
      <c r="C49" s="16" t="s">
        <v>161</v>
      </c>
      <c r="D49" s="16" t="s">
        <v>605</v>
      </c>
      <c r="E49" s="16" t="s">
        <v>468</v>
      </c>
      <c r="F49" s="16" t="s">
        <v>581</v>
      </c>
      <c r="G49" s="16" t="s">
        <v>468</v>
      </c>
      <c r="H49" s="16" t="s">
        <v>606</v>
      </c>
      <c r="I49" s="16" t="s">
        <v>608</v>
      </c>
      <c r="J49" s="16" t="s">
        <v>158</v>
      </c>
      <c r="K49" s="16" t="s">
        <v>151</v>
      </c>
    </row>
    <row r="50" spans="1:11" ht="25">
      <c r="A50" s="18">
        <v>18</v>
      </c>
      <c r="B50" s="18" t="s">
        <v>484</v>
      </c>
      <c r="C50" s="18" t="s">
        <v>165</v>
      </c>
      <c r="D50" s="18" t="s">
        <v>609</v>
      </c>
      <c r="E50" s="18" t="s">
        <v>610</v>
      </c>
      <c r="F50" s="18" t="s">
        <v>581</v>
      </c>
      <c r="G50" s="18" t="s">
        <v>610</v>
      </c>
      <c r="H50" s="18" t="s">
        <v>611</v>
      </c>
      <c r="I50" s="18" t="s">
        <v>612</v>
      </c>
      <c r="J50" s="18" t="s">
        <v>174</v>
      </c>
      <c r="K50" s="18" t="s">
        <v>167</v>
      </c>
    </row>
    <row r="51" spans="1:11" ht="25">
      <c r="A51" s="16">
        <v>19</v>
      </c>
      <c r="B51" s="16" t="s">
        <v>484</v>
      </c>
      <c r="C51" s="16" t="s">
        <v>165</v>
      </c>
      <c r="D51" s="16" t="s">
        <v>605</v>
      </c>
      <c r="E51" s="16" t="s">
        <v>610</v>
      </c>
      <c r="F51" s="16" t="s">
        <v>589</v>
      </c>
      <c r="G51" s="16" t="s">
        <v>468</v>
      </c>
      <c r="H51" s="16" t="s">
        <v>613</v>
      </c>
      <c r="I51" s="16" t="s">
        <v>614</v>
      </c>
      <c r="J51" s="16" t="s">
        <v>158</v>
      </c>
      <c r="K51" s="16" t="s">
        <v>151</v>
      </c>
    </row>
    <row r="52" spans="1:11" ht="25">
      <c r="A52" s="18">
        <v>20</v>
      </c>
      <c r="B52" s="18" t="s">
        <v>484</v>
      </c>
      <c r="C52" s="18" t="s">
        <v>178</v>
      </c>
      <c r="D52" s="18" t="s">
        <v>609</v>
      </c>
      <c r="E52" s="18" t="s">
        <v>473</v>
      </c>
      <c r="F52" s="18" t="s">
        <v>581</v>
      </c>
      <c r="G52" s="18" t="s">
        <v>473</v>
      </c>
      <c r="H52" s="18" t="s">
        <v>611</v>
      </c>
      <c r="I52" s="18" t="s">
        <v>615</v>
      </c>
      <c r="J52" s="18" t="s">
        <v>184</v>
      </c>
      <c r="K52" s="18" t="s">
        <v>180</v>
      </c>
    </row>
    <row r="53" spans="1:11" ht="25">
      <c r="A53" s="16">
        <v>21</v>
      </c>
      <c r="B53" s="16" t="s">
        <v>484</v>
      </c>
      <c r="C53" s="16" t="s">
        <v>178</v>
      </c>
      <c r="D53" s="16" t="s">
        <v>616</v>
      </c>
      <c r="E53" s="16" t="s">
        <v>473</v>
      </c>
      <c r="F53" s="16" t="s">
        <v>589</v>
      </c>
      <c r="G53" s="16" t="s">
        <v>473</v>
      </c>
      <c r="H53" s="16" t="s">
        <v>617</v>
      </c>
      <c r="I53" s="16" t="s">
        <v>618</v>
      </c>
      <c r="J53" s="16" t="s">
        <v>193</v>
      </c>
      <c r="K53" s="16" t="s">
        <v>189</v>
      </c>
    </row>
    <row r="54" spans="1:11" ht="25">
      <c r="A54" s="18">
        <v>22</v>
      </c>
      <c r="B54" s="18" t="s">
        <v>484</v>
      </c>
      <c r="C54" s="18" t="s">
        <v>178</v>
      </c>
      <c r="D54" s="18" t="s">
        <v>616</v>
      </c>
      <c r="E54" s="18" t="s">
        <v>473</v>
      </c>
      <c r="F54" s="18" t="s">
        <v>589</v>
      </c>
      <c r="G54" s="18" t="s">
        <v>473</v>
      </c>
      <c r="H54" s="18" t="s">
        <v>617</v>
      </c>
      <c r="I54" s="18" t="s">
        <v>619</v>
      </c>
      <c r="J54" s="18" t="s">
        <v>201</v>
      </c>
      <c r="K54" s="18" t="s">
        <v>197</v>
      </c>
    </row>
    <row r="55" spans="1:11" ht="50">
      <c r="A55" s="16">
        <v>23</v>
      </c>
      <c r="B55" s="16" t="s">
        <v>484</v>
      </c>
      <c r="C55" s="16" t="s">
        <v>178</v>
      </c>
      <c r="D55" s="16" t="s">
        <v>605</v>
      </c>
      <c r="E55" s="16" t="s">
        <v>473</v>
      </c>
      <c r="F55" s="16" t="s">
        <v>620</v>
      </c>
      <c r="G55" s="16" t="s">
        <v>525</v>
      </c>
      <c r="H55" s="16" t="s">
        <v>606</v>
      </c>
      <c r="I55" s="16" t="s">
        <v>621</v>
      </c>
      <c r="J55" s="16" t="s">
        <v>158</v>
      </c>
      <c r="K55" s="16" t="s">
        <v>151</v>
      </c>
    </row>
    <row r="56" spans="1:11">
      <c r="A56" s="18">
        <v>24</v>
      </c>
      <c r="B56" s="18" t="s">
        <v>484</v>
      </c>
      <c r="C56" s="18" t="s">
        <v>205</v>
      </c>
      <c r="D56" s="18" t="s">
        <v>616</v>
      </c>
      <c r="E56" s="18" t="s">
        <v>471</v>
      </c>
      <c r="F56" s="18" t="s">
        <v>581</v>
      </c>
      <c r="G56" s="18" t="s">
        <v>471</v>
      </c>
      <c r="H56" s="18" t="s">
        <v>617</v>
      </c>
      <c r="I56" s="18" t="s">
        <v>622</v>
      </c>
      <c r="J56" s="18" t="s">
        <v>193</v>
      </c>
      <c r="K56" s="18" t="s">
        <v>189</v>
      </c>
    </row>
    <row r="57" spans="1:11">
      <c r="A57" s="16">
        <v>25</v>
      </c>
      <c r="B57" s="16" t="s">
        <v>484</v>
      </c>
      <c r="C57" s="16" t="s">
        <v>205</v>
      </c>
      <c r="D57" s="16" t="s">
        <v>616</v>
      </c>
      <c r="E57" s="16" t="s">
        <v>471</v>
      </c>
      <c r="F57" s="16" t="s">
        <v>581</v>
      </c>
      <c r="G57" s="16" t="s">
        <v>471</v>
      </c>
      <c r="H57" s="16" t="s">
        <v>617</v>
      </c>
      <c r="I57" s="16" t="s">
        <v>622</v>
      </c>
      <c r="J57" s="16" t="s">
        <v>201</v>
      </c>
      <c r="K57" s="16" t="s">
        <v>197</v>
      </c>
    </row>
    <row r="58" spans="1:11" ht="25">
      <c r="A58" s="18">
        <v>26</v>
      </c>
      <c r="B58" s="18" t="s">
        <v>484</v>
      </c>
      <c r="C58" s="18" t="s">
        <v>205</v>
      </c>
      <c r="D58" s="18" t="s">
        <v>471</v>
      </c>
      <c r="E58" s="18" t="s">
        <v>471</v>
      </c>
      <c r="F58" s="18" t="s">
        <v>581</v>
      </c>
      <c r="G58" s="18" t="s">
        <v>471</v>
      </c>
      <c r="H58" s="18" t="s">
        <v>590</v>
      </c>
      <c r="I58" s="18" t="s">
        <v>623</v>
      </c>
      <c r="J58" s="18" t="s">
        <v>212</v>
      </c>
      <c r="K58" s="18" t="s">
        <v>210</v>
      </c>
    </row>
    <row r="59" spans="1:11">
      <c r="A59" s="16">
        <v>27</v>
      </c>
      <c r="B59" s="16" t="s">
        <v>484</v>
      </c>
      <c r="C59" s="16" t="s">
        <v>205</v>
      </c>
      <c r="D59" s="16" t="s">
        <v>471</v>
      </c>
      <c r="E59" s="16" t="s">
        <v>471</v>
      </c>
      <c r="F59" s="16" t="s">
        <v>581</v>
      </c>
      <c r="G59" s="16" t="s">
        <v>471</v>
      </c>
      <c r="H59" s="16" t="s">
        <v>592</v>
      </c>
      <c r="I59" s="16" t="s">
        <v>624</v>
      </c>
      <c r="J59" s="16" t="s">
        <v>220</v>
      </c>
      <c r="K59" s="16" t="s">
        <v>215</v>
      </c>
    </row>
    <row r="60" spans="1:11" ht="25">
      <c r="A60" s="18">
        <v>28</v>
      </c>
      <c r="B60" s="18" t="s">
        <v>484</v>
      </c>
      <c r="C60" s="18" t="s">
        <v>205</v>
      </c>
      <c r="D60" s="18" t="s">
        <v>471</v>
      </c>
      <c r="E60" s="18" t="s">
        <v>471</v>
      </c>
      <c r="F60" s="18" t="s">
        <v>581</v>
      </c>
      <c r="G60" s="18" t="s">
        <v>471</v>
      </c>
      <c r="H60" s="18" t="s">
        <v>625</v>
      </c>
      <c r="I60" s="18" t="s">
        <v>626</v>
      </c>
      <c r="J60" s="18" t="s">
        <v>229</v>
      </c>
      <c r="K60" s="18" t="s">
        <v>223</v>
      </c>
    </row>
    <row r="61" spans="1:11" ht="25">
      <c r="A61" s="16">
        <v>29</v>
      </c>
      <c r="B61" s="16" t="s">
        <v>484</v>
      </c>
      <c r="C61" s="16" t="s">
        <v>205</v>
      </c>
      <c r="D61" s="16" t="s">
        <v>471</v>
      </c>
      <c r="E61" s="16" t="s">
        <v>471</v>
      </c>
      <c r="F61" s="16" t="s">
        <v>581</v>
      </c>
      <c r="G61" s="16" t="s">
        <v>471</v>
      </c>
      <c r="H61" s="16" t="s">
        <v>627</v>
      </c>
      <c r="I61" s="16" t="s">
        <v>628</v>
      </c>
      <c r="J61" s="16" t="s">
        <v>240</v>
      </c>
      <c r="K61" s="16" t="s">
        <v>233</v>
      </c>
    </row>
    <row r="62" spans="1:11" ht="25">
      <c r="A62" s="18">
        <v>30</v>
      </c>
      <c r="B62" s="18" t="s">
        <v>484</v>
      </c>
      <c r="C62" s="18" t="s">
        <v>243</v>
      </c>
      <c r="D62" s="18" t="s">
        <v>629</v>
      </c>
      <c r="E62" s="18" t="s">
        <v>476</v>
      </c>
      <c r="F62" s="18" t="s">
        <v>581</v>
      </c>
      <c r="G62" s="18" t="s">
        <v>476</v>
      </c>
      <c r="H62" s="18" t="s">
        <v>611</v>
      </c>
      <c r="I62" s="18" t="s">
        <v>630</v>
      </c>
      <c r="J62" s="18" t="s">
        <v>248</v>
      </c>
      <c r="K62" s="18" t="s">
        <v>245</v>
      </c>
    </row>
    <row r="63" spans="1:11" ht="25">
      <c r="A63" s="16">
        <v>31</v>
      </c>
      <c r="B63" s="16" t="s">
        <v>484</v>
      </c>
      <c r="C63" s="16" t="s">
        <v>243</v>
      </c>
      <c r="D63" s="16" t="s">
        <v>629</v>
      </c>
      <c r="E63" s="16" t="s">
        <v>476</v>
      </c>
      <c r="F63" s="16" t="s">
        <v>581</v>
      </c>
      <c r="G63" s="16" t="s">
        <v>476</v>
      </c>
      <c r="H63" s="16" t="s">
        <v>611</v>
      </c>
      <c r="I63" s="16" t="s">
        <v>630</v>
      </c>
      <c r="J63" s="16" t="s">
        <v>201</v>
      </c>
      <c r="K63" s="16" t="s">
        <v>197</v>
      </c>
    </row>
    <row r="64" spans="1:11" ht="37.5">
      <c r="A64" s="18">
        <v>32</v>
      </c>
      <c r="B64" s="18" t="s">
        <v>484</v>
      </c>
      <c r="C64" s="18" t="s">
        <v>252</v>
      </c>
      <c r="D64" s="18" t="s">
        <v>629</v>
      </c>
      <c r="E64" s="18" t="s">
        <v>479</v>
      </c>
      <c r="F64" s="18" t="s">
        <v>631</v>
      </c>
      <c r="G64" s="18" t="s">
        <v>479</v>
      </c>
      <c r="H64" s="18" t="s">
        <v>632</v>
      </c>
      <c r="I64" s="18" t="s">
        <v>633</v>
      </c>
      <c r="J64" s="18" t="s">
        <v>261</v>
      </c>
      <c r="K64" s="18" t="s">
        <v>255</v>
      </c>
    </row>
    <row r="65" spans="1:11" ht="25">
      <c r="A65" s="16">
        <v>33</v>
      </c>
      <c r="B65" s="16" t="s">
        <v>485</v>
      </c>
      <c r="C65" s="16" t="s">
        <v>264</v>
      </c>
      <c r="D65" s="16" t="s">
        <v>634</v>
      </c>
      <c r="E65" s="16" t="s">
        <v>465</v>
      </c>
      <c r="F65" s="16" t="s">
        <v>635</v>
      </c>
      <c r="G65" s="16" t="s">
        <v>525</v>
      </c>
      <c r="H65" s="16" t="s">
        <v>636</v>
      </c>
      <c r="I65" s="16" t="s">
        <v>637</v>
      </c>
      <c r="J65" s="16" t="s">
        <v>273</v>
      </c>
      <c r="K65" s="16" t="s">
        <v>266</v>
      </c>
    </row>
    <row r="66" spans="1:11" ht="37.5">
      <c r="A66" s="18">
        <v>34</v>
      </c>
      <c r="B66" s="18" t="s">
        <v>485</v>
      </c>
      <c r="C66" s="18" t="s">
        <v>264</v>
      </c>
      <c r="D66" s="18" t="s">
        <v>465</v>
      </c>
      <c r="E66" s="18" t="s">
        <v>465</v>
      </c>
      <c r="F66" s="18" t="s">
        <v>581</v>
      </c>
      <c r="G66" s="18" t="s">
        <v>465</v>
      </c>
      <c r="H66" s="18" t="s">
        <v>638</v>
      </c>
      <c r="I66" s="18" t="s">
        <v>639</v>
      </c>
      <c r="J66" s="18" t="s">
        <v>284</v>
      </c>
      <c r="K66" s="18" t="s">
        <v>277</v>
      </c>
    </row>
    <row r="67" spans="1:11">
      <c r="A67" s="16">
        <v>35</v>
      </c>
      <c r="B67" s="16" t="s">
        <v>485</v>
      </c>
      <c r="C67" s="16" t="s">
        <v>264</v>
      </c>
      <c r="D67" s="16" t="s">
        <v>465</v>
      </c>
      <c r="E67" s="16" t="s">
        <v>465</v>
      </c>
      <c r="F67" s="16" t="s">
        <v>581</v>
      </c>
      <c r="G67" s="16" t="s">
        <v>465</v>
      </c>
      <c r="H67" s="16" t="s">
        <v>640</v>
      </c>
      <c r="I67" s="16" t="s">
        <v>641</v>
      </c>
      <c r="J67" s="16" t="s">
        <v>294</v>
      </c>
      <c r="K67" s="16" t="s">
        <v>287</v>
      </c>
    </row>
    <row r="68" spans="1:11" ht="25">
      <c r="A68" s="18">
        <v>36</v>
      </c>
      <c r="B68" s="18" t="s">
        <v>485</v>
      </c>
      <c r="C68" s="18" t="s">
        <v>296</v>
      </c>
      <c r="D68" s="18" t="s">
        <v>634</v>
      </c>
      <c r="E68" s="18" t="s">
        <v>468</v>
      </c>
      <c r="F68" s="18" t="s">
        <v>635</v>
      </c>
      <c r="G68" s="18" t="s">
        <v>525</v>
      </c>
      <c r="H68" s="18" t="s">
        <v>636</v>
      </c>
      <c r="I68" s="18" t="s">
        <v>637</v>
      </c>
      <c r="J68" s="18" t="s">
        <v>273</v>
      </c>
      <c r="K68" s="18" t="s">
        <v>266</v>
      </c>
    </row>
    <row r="69" spans="1:11">
      <c r="A69" s="16">
        <v>37</v>
      </c>
      <c r="B69" s="16" t="s">
        <v>485</v>
      </c>
      <c r="C69" s="16" t="s">
        <v>296</v>
      </c>
      <c r="D69" s="16" t="s">
        <v>468</v>
      </c>
      <c r="E69" s="16" t="s">
        <v>468</v>
      </c>
      <c r="F69" s="16" t="s">
        <v>581</v>
      </c>
      <c r="G69" s="16" t="s">
        <v>468</v>
      </c>
      <c r="H69" s="16" t="s">
        <v>640</v>
      </c>
      <c r="I69" s="16" t="s">
        <v>641</v>
      </c>
      <c r="J69" s="16" t="s">
        <v>294</v>
      </c>
      <c r="K69" s="16" t="s">
        <v>287</v>
      </c>
    </row>
    <row r="70" spans="1:11" ht="25">
      <c r="A70" s="18">
        <v>38</v>
      </c>
      <c r="B70" s="18" t="s">
        <v>485</v>
      </c>
      <c r="C70" s="18" t="s">
        <v>301</v>
      </c>
      <c r="D70" s="18" t="s">
        <v>634</v>
      </c>
      <c r="E70" s="18" t="s">
        <v>471</v>
      </c>
      <c r="F70" s="18" t="s">
        <v>581</v>
      </c>
      <c r="G70" s="18" t="s">
        <v>471</v>
      </c>
      <c r="H70" s="18" t="s">
        <v>636</v>
      </c>
      <c r="I70" s="18" t="s">
        <v>637</v>
      </c>
      <c r="J70" s="18" t="s">
        <v>273</v>
      </c>
      <c r="K70" s="18" t="s">
        <v>266</v>
      </c>
    </row>
    <row r="71" spans="1:11">
      <c r="A71" s="16">
        <v>39</v>
      </c>
      <c r="B71" s="16" t="s">
        <v>485</v>
      </c>
      <c r="C71" s="16" t="s">
        <v>301</v>
      </c>
      <c r="D71" s="16" t="s">
        <v>471</v>
      </c>
      <c r="E71" s="16" t="s">
        <v>471</v>
      </c>
      <c r="F71" s="16" t="s">
        <v>581</v>
      </c>
      <c r="G71" s="16" t="s">
        <v>471</v>
      </c>
      <c r="H71" s="16" t="s">
        <v>642</v>
      </c>
      <c r="I71" s="16" t="s">
        <v>641</v>
      </c>
      <c r="J71" s="16" t="s">
        <v>311</v>
      </c>
      <c r="K71" s="16" t="s">
        <v>305</v>
      </c>
    </row>
    <row r="72" spans="1:11">
      <c r="A72" s="18">
        <v>40</v>
      </c>
      <c r="B72" s="18" t="s">
        <v>485</v>
      </c>
      <c r="C72" s="18" t="s">
        <v>301</v>
      </c>
      <c r="D72" s="18" t="s">
        <v>588</v>
      </c>
      <c r="E72" s="18" t="s">
        <v>471</v>
      </c>
      <c r="F72" s="18" t="s">
        <v>581</v>
      </c>
      <c r="G72" s="18" t="s">
        <v>471</v>
      </c>
      <c r="H72" s="18" t="s">
        <v>640</v>
      </c>
      <c r="I72" s="18" t="s">
        <v>641</v>
      </c>
      <c r="J72" s="18" t="s">
        <v>294</v>
      </c>
      <c r="K72" s="18" t="s">
        <v>287</v>
      </c>
    </row>
    <row r="73" spans="1:11">
      <c r="A73" s="16">
        <v>41</v>
      </c>
      <c r="B73" s="16" t="s">
        <v>485</v>
      </c>
      <c r="C73" s="16" t="s">
        <v>301</v>
      </c>
      <c r="D73" s="16" t="s">
        <v>588</v>
      </c>
      <c r="E73" s="16" t="s">
        <v>471</v>
      </c>
      <c r="F73" s="16" t="s">
        <v>581</v>
      </c>
      <c r="G73" s="16" t="s">
        <v>471</v>
      </c>
      <c r="H73" s="16" t="s">
        <v>640</v>
      </c>
      <c r="I73" s="16" t="s">
        <v>641</v>
      </c>
      <c r="J73" s="16" t="s">
        <v>319</v>
      </c>
      <c r="K73" s="16" t="s">
        <v>315</v>
      </c>
    </row>
    <row r="74" spans="1:11" ht="25">
      <c r="A74" s="18">
        <v>42</v>
      </c>
      <c r="B74" s="18" t="s">
        <v>485</v>
      </c>
      <c r="C74" s="18" t="s">
        <v>97</v>
      </c>
      <c r="D74" s="18" t="s">
        <v>634</v>
      </c>
      <c r="E74" s="18" t="s">
        <v>473</v>
      </c>
      <c r="F74" s="18" t="s">
        <v>635</v>
      </c>
      <c r="G74" s="18" t="s">
        <v>525</v>
      </c>
      <c r="H74" s="18" t="s">
        <v>636</v>
      </c>
      <c r="I74" s="18" t="s">
        <v>637</v>
      </c>
      <c r="J74" s="18" t="s">
        <v>273</v>
      </c>
      <c r="K74" s="18" t="s">
        <v>266</v>
      </c>
    </row>
    <row r="75" spans="1:11">
      <c r="A75" s="16">
        <v>43</v>
      </c>
      <c r="B75" s="16" t="s">
        <v>485</v>
      </c>
      <c r="C75" s="16" t="s">
        <v>97</v>
      </c>
      <c r="D75" s="16" t="s">
        <v>588</v>
      </c>
      <c r="E75" s="16" t="s">
        <v>473</v>
      </c>
      <c r="F75" s="16" t="s">
        <v>581</v>
      </c>
      <c r="G75" s="16" t="s">
        <v>473</v>
      </c>
      <c r="H75" s="16" t="s">
        <v>640</v>
      </c>
      <c r="I75" s="16" t="s">
        <v>641</v>
      </c>
      <c r="J75" s="16" t="s">
        <v>294</v>
      </c>
      <c r="K75" s="16" t="s">
        <v>287</v>
      </c>
    </row>
    <row r="76" spans="1:11">
      <c r="A76" s="18">
        <v>44</v>
      </c>
      <c r="B76" s="18" t="s">
        <v>485</v>
      </c>
      <c r="C76" s="18" t="s">
        <v>97</v>
      </c>
      <c r="D76" s="18" t="s">
        <v>588</v>
      </c>
      <c r="E76" s="18" t="s">
        <v>473</v>
      </c>
      <c r="F76" s="18" t="s">
        <v>581</v>
      </c>
      <c r="G76" s="18" t="s">
        <v>473</v>
      </c>
      <c r="H76" s="18" t="s">
        <v>640</v>
      </c>
      <c r="I76" s="18" t="s">
        <v>641</v>
      </c>
      <c r="J76" s="18" t="s">
        <v>319</v>
      </c>
      <c r="K76" s="18" t="s">
        <v>315</v>
      </c>
    </row>
    <row r="77" spans="1:11" ht="25">
      <c r="A77" s="16">
        <v>45</v>
      </c>
      <c r="B77" s="16" t="s">
        <v>485</v>
      </c>
      <c r="C77" s="16" t="s">
        <v>326</v>
      </c>
      <c r="D77" s="16" t="s">
        <v>634</v>
      </c>
      <c r="E77" s="16" t="s">
        <v>473</v>
      </c>
      <c r="F77" s="16" t="s">
        <v>635</v>
      </c>
      <c r="G77" s="16" t="s">
        <v>525</v>
      </c>
      <c r="H77" s="16" t="s">
        <v>636</v>
      </c>
      <c r="I77" s="16" t="s">
        <v>637</v>
      </c>
      <c r="J77" s="16" t="s">
        <v>273</v>
      </c>
      <c r="K77" s="16" t="s">
        <v>266</v>
      </c>
    </row>
    <row r="78" spans="1:11">
      <c r="A78" s="18">
        <v>46</v>
      </c>
      <c r="B78" s="18" t="s">
        <v>485</v>
      </c>
      <c r="C78" s="18" t="s">
        <v>326</v>
      </c>
      <c r="D78" s="18" t="s">
        <v>588</v>
      </c>
      <c r="E78" s="18" t="s">
        <v>473</v>
      </c>
      <c r="F78" s="18" t="s">
        <v>581</v>
      </c>
      <c r="G78" s="18" t="s">
        <v>473</v>
      </c>
      <c r="H78" s="18" t="s">
        <v>640</v>
      </c>
      <c r="I78" s="18" t="s">
        <v>641</v>
      </c>
      <c r="J78" s="18" t="s">
        <v>294</v>
      </c>
      <c r="K78" s="18" t="s">
        <v>287</v>
      </c>
    </row>
    <row r="79" spans="1:11">
      <c r="A79" s="16">
        <v>47</v>
      </c>
      <c r="B79" s="16" t="s">
        <v>485</v>
      </c>
      <c r="C79" s="16" t="s">
        <v>326</v>
      </c>
      <c r="D79" s="16" t="s">
        <v>588</v>
      </c>
      <c r="E79" s="16" t="s">
        <v>473</v>
      </c>
      <c r="F79" s="16" t="s">
        <v>581</v>
      </c>
      <c r="G79" s="16" t="s">
        <v>473</v>
      </c>
      <c r="H79" s="16" t="s">
        <v>640</v>
      </c>
      <c r="I79" s="16" t="s">
        <v>641</v>
      </c>
      <c r="J79" s="16" t="s">
        <v>319</v>
      </c>
      <c r="K79" s="16" t="s">
        <v>315</v>
      </c>
    </row>
    <row r="80" spans="1:11" ht="25">
      <c r="A80" s="18">
        <v>48</v>
      </c>
      <c r="B80" s="18" t="s">
        <v>485</v>
      </c>
      <c r="C80" s="18" t="s">
        <v>331</v>
      </c>
      <c r="D80" s="18" t="s">
        <v>634</v>
      </c>
      <c r="E80" s="18" t="s">
        <v>476</v>
      </c>
      <c r="F80" s="18" t="s">
        <v>581</v>
      </c>
      <c r="G80" s="18" t="s">
        <v>476</v>
      </c>
      <c r="H80" s="18" t="s">
        <v>636</v>
      </c>
      <c r="I80" s="18" t="s">
        <v>637</v>
      </c>
      <c r="J80" s="18" t="s">
        <v>273</v>
      </c>
      <c r="K80" s="18" t="s">
        <v>266</v>
      </c>
    </row>
    <row r="81" spans="1:11" ht="25">
      <c r="A81" s="16">
        <v>49</v>
      </c>
      <c r="B81" s="16" t="s">
        <v>485</v>
      </c>
      <c r="C81" s="16" t="s">
        <v>331</v>
      </c>
      <c r="D81" s="16" t="s">
        <v>476</v>
      </c>
      <c r="E81" s="16" t="s">
        <v>476</v>
      </c>
      <c r="F81" s="16" t="s">
        <v>581</v>
      </c>
      <c r="G81" s="16" t="s">
        <v>476</v>
      </c>
      <c r="H81" s="16" t="s">
        <v>643</v>
      </c>
      <c r="I81" s="16" t="s">
        <v>641</v>
      </c>
      <c r="J81" s="16" t="s">
        <v>342</v>
      </c>
      <c r="K81" s="16" t="s">
        <v>335</v>
      </c>
    </row>
    <row r="82" spans="1:11">
      <c r="A82" s="18">
        <v>50</v>
      </c>
      <c r="B82" s="18" t="s">
        <v>485</v>
      </c>
      <c r="C82" s="18" t="s">
        <v>331</v>
      </c>
      <c r="D82" s="18" t="s">
        <v>588</v>
      </c>
      <c r="E82" s="18" t="s">
        <v>476</v>
      </c>
      <c r="F82" s="18" t="s">
        <v>635</v>
      </c>
      <c r="G82" s="18" t="s">
        <v>525</v>
      </c>
      <c r="H82" s="18" t="s">
        <v>640</v>
      </c>
      <c r="I82" s="18" t="s">
        <v>641</v>
      </c>
      <c r="J82" s="18" t="s">
        <v>319</v>
      </c>
      <c r="K82" s="18" t="s">
        <v>315</v>
      </c>
    </row>
    <row r="83" spans="1:11" ht="25">
      <c r="A83" s="16">
        <v>51</v>
      </c>
      <c r="B83" s="16" t="s">
        <v>485</v>
      </c>
      <c r="C83" s="16" t="s">
        <v>345</v>
      </c>
      <c r="D83" s="16" t="s">
        <v>634</v>
      </c>
      <c r="E83" s="16" t="s">
        <v>629</v>
      </c>
      <c r="F83" s="16" t="s">
        <v>589</v>
      </c>
      <c r="G83" s="16" t="s">
        <v>476</v>
      </c>
      <c r="H83" s="16" t="s">
        <v>636</v>
      </c>
      <c r="I83" s="16" t="s">
        <v>637</v>
      </c>
      <c r="J83" s="16" t="s">
        <v>273</v>
      </c>
      <c r="K83" s="16" t="s">
        <v>266</v>
      </c>
    </row>
    <row r="84" spans="1:11" ht="25">
      <c r="A84" s="18">
        <v>52</v>
      </c>
      <c r="B84" s="18" t="s">
        <v>485</v>
      </c>
      <c r="C84" s="18" t="s">
        <v>345</v>
      </c>
      <c r="D84" s="18" t="s">
        <v>629</v>
      </c>
      <c r="E84" s="18" t="s">
        <v>629</v>
      </c>
      <c r="F84" s="18" t="s">
        <v>581</v>
      </c>
      <c r="G84" s="18" t="s">
        <v>629</v>
      </c>
      <c r="H84" s="18" t="s">
        <v>643</v>
      </c>
      <c r="I84" s="18" t="s">
        <v>641</v>
      </c>
      <c r="J84" s="18" t="s">
        <v>342</v>
      </c>
      <c r="K84" s="18" t="s">
        <v>335</v>
      </c>
    </row>
    <row r="85" spans="1:11" ht="25">
      <c r="A85" s="16">
        <v>53</v>
      </c>
      <c r="B85" s="16" t="s">
        <v>485</v>
      </c>
      <c r="C85" s="16" t="s">
        <v>350</v>
      </c>
      <c r="D85" s="16" t="s">
        <v>634</v>
      </c>
      <c r="E85" s="16" t="s">
        <v>479</v>
      </c>
      <c r="F85" s="16" t="s">
        <v>635</v>
      </c>
      <c r="G85" s="16" t="s">
        <v>525</v>
      </c>
      <c r="H85" s="16" t="s">
        <v>636</v>
      </c>
      <c r="I85" s="16" t="s">
        <v>637</v>
      </c>
      <c r="J85" s="16" t="s">
        <v>273</v>
      </c>
      <c r="K85" s="16" t="s">
        <v>266</v>
      </c>
    </row>
    <row r="86" spans="1:11" ht="25">
      <c r="A86" s="18">
        <v>54</v>
      </c>
      <c r="B86" s="18" t="s">
        <v>486</v>
      </c>
      <c r="C86" s="18" t="s">
        <v>353</v>
      </c>
      <c r="D86" s="18" t="s">
        <v>465</v>
      </c>
      <c r="E86" s="18" t="s">
        <v>465</v>
      </c>
      <c r="F86" s="18" t="s">
        <v>581</v>
      </c>
      <c r="G86" s="18" t="s">
        <v>465</v>
      </c>
      <c r="H86" s="18" t="s">
        <v>644</v>
      </c>
      <c r="I86" s="18" t="s">
        <v>641</v>
      </c>
      <c r="J86" s="18" t="s">
        <v>360</v>
      </c>
      <c r="K86" s="18" t="s">
        <v>354</v>
      </c>
    </row>
    <row r="87" spans="1:11" ht="25">
      <c r="A87" s="16">
        <v>55</v>
      </c>
      <c r="B87" s="16" t="s">
        <v>486</v>
      </c>
      <c r="C87" s="16" t="s">
        <v>363</v>
      </c>
      <c r="D87" s="16" t="s">
        <v>465</v>
      </c>
      <c r="E87" s="16" t="s">
        <v>468</v>
      </c>
      <c r="F87" s="16" t="s">
        <v>635</v>
      </c>
      <c r="G87" s="16" t="s">
        <v>525</v>
      </c>
      <c r="H87" s="16" t="s">
        <v>644</v>
      </c>
      <c r="I87" s="16" t="s">
        <v>641</v>
      </c>
      <c r="J87" s="16" t="s">
        <v>360</v>
      </c>
      <c r="K87" s="16" t="s">
        <v>354</v>
      </c>
    </row>
    <row r="88" spans="1:11" ht="25">
      <c r="A88" s="18">
        <v>56</v>
      </c>
      <c r="B88" s="18" t="s">
        <v>486</v>
      </c>
      <c r="C88" s="18" t="s">
        <v>366</v>
      </c>
      <c r="D88" s="18" t="s">
        <v>468</v>
      </c>
      <c r="E88" s="18" t="s">
        <v>468</v>
      </c>
      <c r="F88" s="18" t="s">
        <v>581</v>
      </c>
      <c r="G88" s="18" t="s">
        <v>468</v>
      </c>
      <c r="H88" s="18" t="s">
        <v>645</v>
      </c>
      <c r="I88" s="18" t="s">
        <v>641</v>
      </c>
      <c r="J88" s="18" t="s">
        <v>375</v>
      </c>
      <c r="K88" s="18" t="s">
        <v>369</v>
      </c>
    </row>
    <row r="89" spans="1:11">
      <c r="A89" s="16">
        <v>57</v>
      </c>
      <c r="B89" s="16" t="s">
        <v>486</v>
      </c>
      <c r="C89" s="16" t="s">
        <v>377</v>
      </c>
      <c r="D89" s="16" t="s">
        <v>473</v>
      </c>
      <c r="E89" s="16" t="s">
        <v>473</v>
      </c>
      <c r="F89" s="16" t="s">
        <v>581</v>
      </c>
      <c r="G89" s="16" t="s">
        <v>473</v>
      </c>
      <c r="H89" s="16" t="s">
        <v>646</v>
      </c>
      <c r="I89" s="16" t="s">
        <v>641</v>
      </c>
      <c r="J89" s="16" t="s">
        <v>386</v>
      </c>
      <c r="K89" s="16" t="s">
        <v>380</v>
      </c>
    </row>
    <row r="90" spans="1:11" ht="25">
      <c r="A90" s="18">
        <v>58</v>
      </c>
      <c r="B90" s="18" t="s">
        <v>486</v>
      </c>
      <c r="C90" s="18" t="s">
        <v>377</v>
      </c>
      <c r="D90" s="18" t="s">
        <v>473</v>
      </c>
      <c r="E90" s="18" t="s">
        <v>473</v>
      </c>
      <c r="F90" s="18" t="s">
        <v>581</v>
      </c>
      <c r="G90" s="18" t="s">
        <v>473</v>
      </c>
      <c r="H90" s="18" t="s">
        <v>647</v>
      </c>
      <c r="I90" s="18" t="s">
        <v>641</v>
      </c>
      <c r="J90" s="18" t="s">
        <v>395</v>
      </c>
      <c r="K90" s="18" t="s">
        <v>389</v>
      </c>
    </row>
    <row r="91" spans="1:11" ht="25">
      <c r="A91" s="16">
        <v>59</v>
      </c>
      <c r="B91" s="16" t="s">
        <v>486</v>
      </c>
      <c r="C91" s="16" t="s">
        <v>397</v>
      </c>
      <c r="D91" s="16" t="s">
        <v>473</v>
      </c>
      <c r="E91" s="16" t="s">
        <v>473</v>
      </c>
      <c r="F91" s="16" t="s">
        <v>581</v>
      </c>
      <c r="G91" s="16" t="s">
        <v>473</v>
      </c>
      <c r="H91" s="16" t="s">
        <v>648</v>
      </c>
      <c r="I91" s="16" t="s">
        <v>641</v>
      </c>
      <c r="J91" s="16" t="s">
        <v>407</v>
      </c>
      <c r="K91" s="16" t="s">
        <v>400</v>
      </c>
    </row>
    <row r="92" spans="1:11">
      <c r="A92" s="18">
        <v>60</v>
      </c>
      <c r="B92" s="18" t="s">
        <v>486</v>
      </c>
      <c r="C92" s="18" t="s">
        <v>409</v>
      </c>
      <c r="D92" s="18" t="s">
        <v>471</v>
      </c>
      <c r="E92" s="18" t="s">
        <v>471</v>
      </c>
      <c r="F92" s="18" t="s">
        <v>581</v>
      </c>
      <c r="G92" s="18" t="s">
        <v>471</v>
      </c>
      <c r="H92" s="18" t="s">
        <v>649</v>
      </c>
      <c r="I92" s="18" t="s">
        <v>641</v>
      </c>
      <c r="J92" s="18" t="s">
        <v>413</v>
      </c>
      <c r="K92" s="18" t="s">
        <v>410</v>
      </c>
    </row>
    <row r="93" spans="1:11">
      <c r="A93" s="16">
        <v>61</v>
      </c>
      <c r="B93" s="16" t="s">
        <v>486</v>
      </c>
      <c r="C93" s="16" t="s">
        <v>409</v>
      </c>
      <c r="D93" s="16" t="s">
        <v>471</v>
      </c>
      <c r="E93" s="16" t="s">
        <v>471</v>
      </c>
      <c r="F93" s="16" t="s">
        <v>581</v>
      </c>
      <c r="G93" s="16" t="s">
        <v>471</v>
      </c>
      <c r="H93" s="16" t="s">
        <v>650</v>
      </c>
      <c r="I93" s="16" t="s">
        <v>641</v>
      </c>
      <c r="J93" s="16" t="s">
        <v>419</v>
      </c>
      <c r="K93" s="16" t="s">
        <v>415</v>
      </c>
    </row>
    <row r="94" spans="1:11" ht="25">
      <c r="A94" s="18">
        <v>62</v>
      </c>
      <c r="B94" s="18" t="s">
        <v>486</v>
      </c>
      <c r="C94" s="18" t="s">
        <v>409</v>
      </c>
      <c r="D94" s="18" t="s">
        <v>634</v>
      </c>
      <c r="E94" s="18" t="s">
        <v>471</v>
      </c>
      <c r="F94" s="18" t="s">
        <v>581</v>
      </c>
      <c r="G94" s="18" t="s">
        <v>471</v>
      </c>
      <c r="H94" s="18" t="s">
        <v>651</v>
      </c>
      <c r="I94" s="18" t="s">
        <v>641</v>
      </c>
      <c r="J94" s="18" t="s">
        <v>428</v>
      </c>
      <c r="K94" s="18" t="s">
        <v>422</v>
      </c>
    </row>
    <row r="95" spans="1:11" ht="25">
      <c r="A95" s="16">
        <v>63</v>
      </c>
      <c r="B95" s="16" t="s">
        <v>486</v>
      </c>
      <c r="C95" s="16" t="s">
        <v>409</v>
      </c>
      <c r="D95" s="16" t="s">
        <v>471</v>
      </c>
      <c r="E95" s="16" t="s">
        <v>471</v>
      </c>
      <c r="F95" s="16" t="s">
        <v>581</v>
      </c>
      <c r="G95" s="16" t="s">
        <v>471</v>
      </c>
      <c r="H95" s="16" t="s">
        <v>648</v>
      </c>
      <c r="I95" s="16" t="s">
        <v>641</v>
      </c>
      <c r="J95" s="16" t="s">
        <v>407</v>
      </c>
      <c r="K95" s="16" t="s">
        <v>400</v>
      </c>
    </row>
    <row r="96" spans="1:11" ht="25">
      <c r="A96" s="18">
        <v>64</v>
      </c>
      <c r="B96" s="18" t="s">
        <v>486</v>
      </c>
      <c r="C96" s="18" t="s">
        <v>433</v>
      </c>
      <c r="D96" s="18" t="s">
        <v>629</v>
      </c>
      <c r="E96" s="18" t="s">
        <v>476</v>
      </c>
      <c r="F96" s="18" t="s">
        <v>581</v>
      </c>
      <c r="G96" s="18" t="s">
        <v>476</v>
      </c>
      <c r="H96" s="18" t="s">
        <v>652</v>
      </c>
      <c r="I96" s="18" t="s">
        <v>641</v>
      </c>
      <c r="J96" s="18" t="s">
        <v>441</v>
      </c>
      <c r="K96" s="18" t="s">
        <v>435</v>
      </c>
    </row>
    <row r="97" spans="1:11" ht="25">
      <c r="A97" s="16">
        <v>65</v>
      </c>
      <c r="B97" s="16" t="s">
        <v>486</v>
      </c>
      <c r="C97" s="16" t="s">
        <v>433</v>
      </c>
      <c r="D97" s="16" t="s">
        <v>476</v>
      </c>
      <c r="E97" s="16" t="s">
        <v>476</v>
      </c>
      <c r="F97" s="16" t="s">
        <v>581</v>
      </c>
      <c r="G97" s="16" t="s">
        <v>476</v>
      </c>
      <c r="H97" s="16" t="s">
        <v>648</v>
      </c>
      <c r="I97" s="16" t="s">
        <v>641</v>
      </c>
      <c r="J97" s="16" t="s">
        <v>407</v>
      </c>
      <c r="K97" s="16" t="s">
        <v>400</v>
      </c>
    </row>
    <row r="98" spans="1:11" ht="25">
      <c r="A98" s="18">
        <v>66</v>
      </c>
      <c r="B98" s="18" t="s">
        <v>486</v>
      </c>
      <c r="C98" s="18" t="s">
        <v>445</v>
      </c>
      <c r="D98" s="18" t="s">
        <v>479</v>
      </c>
      <c r="E98" s="18" t="s">
        <v>479</v>
      </c>
      <c r="F98" s="18" t="s">
        <v>581</v>
      </c>
      <c r="G98" s="18" t="s">
        <v>479</v>
      </c>
      <c r="H98" s="18" t="s">
        <v>653</v>
      </c>
      <c r="I98" s="18" t="s">
        <v>641</v>
      </c>
      <c r="J98" s="18" t="s">
        <v>454</v>
      </c>
      <c r="K98" s="18" t="s">
        <v>447</v>
      </c>
    </row>
    <row r="99" spans="1:11" ht="180" customHeight="1">
      <c r="A99" s="18">
        <v>67</v>
      </c>
      <c r="B99" s="18" t="s">
        <v>483</v>
      </c>
      <c r="C99" s="18" t="s">
        <v>62</v>
      </c>
      <c r="D99" s="18" t="s">
        <v>735</v>
      </c>
      <c r="E99" s="18" t="s">
        <v>473</v>
      </c>
      <c r="F99" s="18" t="s">
        <v>589</v>
      </c>
      <c r="G99" s="18" t="s">
        <v>736</v>
      </c>
      <c r="H99" s="18" t="s">
        <v>737</v>
      </c>
      <c r="I99" s="18" t="s">
        <v>726</v>
      </c>
      <c r="J99" s="18" t="s">
        <v>727</v>
      </c>
      <c r="K99" s="18" t="s">
        <v>720</v>
      </c>
    </row>
  </sheetData>
  <mergeCells count="8">
    <mergeCell ref="A6:J6"/>
    <mergeCell ref="A7:J7"/>
    <mergeCell ref="A35:K35"/>
    <mergeCell ref="A1:K1"/>
    <mergeCell ref="A2:J2"/>
    <mergeCell ref="A3:J3"/>
    <mergeCell ref="A4:J4"/>
    <mergeCell ref="A5:J5"/>
  </mergeCells>
  <conditionalFormatting sqref="F37:F98">
    <cfRule type="containsText" dxfId="1" priority="2" operator="containsText" text="No "/>
  </conditionalFormatting>
  <conditionalFormatting sqref="G10:G33">
    <cfRule type="containsText" dxfId="0" priority="1" operator="containsText" text="Sin cobertura"/>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maestra</vt:lpstr>
      <vt:lpstr>Auditoría web</vt:lpstr>
      <vt:lpstr>Correspondencia de fases</vt:lpstr>
      <vt:lpstr>Fuentes únicas</vt:lpstr>
      <vt:lpstr>Hoja1</vt:lpstr>
      <vt:lpstr>Resumen por cultivo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Paola Andrea Ruiz Franco</dc:creator>
  <cp:lastModifiedBy>Paola Andrea Ruiz Franco</cp:lastModifiedBy>
  <dcterms:created xsi:type="dcterms:W3CDTF">2026-09-15T00:56:28Z</dcterms:created>
  <dcterms:modified xsi:type="dcterms:W3CDTF">2026-10-07T10:08:54Z</dcterms:modified>
</cp:coreProperties>
</file>