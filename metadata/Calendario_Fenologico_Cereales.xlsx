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\Tesis\"/>
    </mc:Choice>
  </mc:AlternateContent>
  <xr:revisionPtr revIDLastSave="0" documentId="13_ncr:1_{DAC00283-E480-4B69-A082-AB52A83A8A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2" r:id="rId1"/>
    <sheet name="Trigo" sheetId="4" r:id="rId2"/>
    <sheet name="Maiz" sheetId="5" r:id="rId3"/>
    <sheet name="Arroz" sheetId="6" r:id="rId4"/>
    <sheet name="Soya" sheetId="7" r:id="rId5"/>
    <sheet name="Hoja2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E19" i="2" s="1"/>
  <c r="E20" i="2" s="1"/>
  <c r="E21" i="2" s="1"/>
  <c r="E13" i="2"/>
  <c r="E14" i="2" s="1"/>
  <c r="E15" i="2" s="1"/>
  <c r="E16" i="2" s="1"/>
  <c r="E7" i="2"/>
  <c r="E8" i="2" s="1"/>
  <c r="E9" i="2" s="1"/>
  <c r="E10" i="2" s="1"/>
  <c r="E11" i="2" s="1"/>
  <c r="E3" i="2"/>
  <c r="E4" i="2" s="1"/>
  <c r="E5" i="2" s="1"/>
  <c r="E6" i="2" s="1"/>
</calcChain>
</file>

<file path=xl/sharedStrings.xml><?xml version="1.0" encoding="utf-8"?>
<sst xmlns="http://schemas.openxmlformats.org/spreadsheetml/2006/main" count="381" uniqueCount="184">
  <si>
    <t>Cultivo</t>
  </si>
  <si>
    <t>Umbral óptimo</t>
  </si>
  <si>
    <t>Umbral crítico</t>
  </si>
  <si>
    <t>Arroz (secano)</t>
  </si>
  <si>
    <t>Germinación</t>
  </si>
  <si>
    <t>Vegetativo</t>
  </si>
  <si>
    <t>Reproductivo</t>
  </si>
  <si>
    <t>Llenado</t>
  </si>
  <si>
    <t>Madurez</t>
  </si>
  <si>
    <t>Siembra a emergencia</t>
  </si>
  <si>
    <t>Macollamiento (crecimiento)</t>
  </si>
  <si>
    <t>Floración (antesis/polinización)</t>
  </si>
  <si>
    <t>Llenado de grano (maduración fisiológica)</t>
  </si>
  <si>
    <t>Madurez y cosecha</t>
  </si>
  <si>
    <t>Temperatura del suelo</t>
  </si>
  <si>
    <t>Agua disponible (lluvia)</t>
  </si>
  <si>
    <t>Temperatura del aire (día)</t>
  </si>
  <si>
    <t>Temperatura nocturna</t>
  </si>
  <si>
    <t>Viento (tormentas)</t>
  </si>
  <si>
    <t>Calor</t>
  </si>
  <si>
    <t>Sequía</t>
  </si>
  <si>
    <t>Viento</t>
  </si>
  <si>
    <t>No</t>
  </si>
  <si>
    <t>Fase</t>
  </si>
  <si>
    <t>Sub-fase</t>
  </si>
  <si>
    <t>Duración (días)</t>
  </si>
  <si>
    <t>Variable clave</t>
  </si>
  <si>
    <t>Estrés</t>
  </si>
  <si>
    <t>Impacto en rendimiento</t>
  </si>
  <si>
    <t>Vernal/Fotoper.</t>
  </si>
  <si>
    <t>Fuente</t>
  </si>
  <si>
    <t>≈7</t>
  </si>
  <si>
    <t>Establecimiento fallido con &gt;35 °C (pérdida potencial hasta 100%)</t>
  </si>
  <si>
    <t>≈30</t>
  </si>
  <si>
    <t>Suelo a capacidad de campo (sin déficit)</t>
  </si>
  <si>
    <t>Sequía &gt;15 días (déficit hídrico severo)</t>
  </si>
  <si>
    <t>≈26–30 °C (óptimo)</t>
  </si>
  <si>
    <t>≈22 °C (óptima noche)</t>
  </si>
  <si>
    <t>&gt;27 °C (noches cálidas acortan llenado)</t>
  </si>
  <si>
    <t>~−7% rendimiento por cada +1 °C sobre 22 °C noche</t>
  </si>
  <si>
    <t>Welch et al., 2017</t>
  </si>
  <si>
    <t>≈10</t>
  </si>
  <si>
    <t>Vientos &lt;20 km/h (cond. ideales)</t>
  </si>
  <si>
    <t>Vientos &gt;50 km/h (ráfagas fuertes, acame)</t>
  </si>
  <si>
    <t>Acame reduce rinde ~15–50% (puede &gt;80% en huracán)</t>
  </si>
  <si>
    <t>Setter 1997 (cit. Peng 2014)</t>
  </si>
  <si>
    <t>Maíz (secano)</t>
  </si>
  <si>
    <t>5–7</t>
  </si>
  <si>
    <t>≈21–28 °C (óptimo)</t>
  </si>
  <si>
    <t>&lt;10 °C (mínima germinación)</t>
  </si>
  <si>
    <t>Frío</t>
  </si>
  <si>
    <t>Emergencia lenta/fallida; 50% menos plantas ⇒ ≈30% menos rinde</t>
  </si>
  <si>
    <t>No (híbridos modernos día-neutro)</t>
  </si>
  <si>
    <t>Pioneer, 2019; Nielsen, 1996</t>
  </si>
  <si>
    <t>Crecimiento vegetativo (V1–Vn)</t>
  </si>
  <si>
    <t>≈50</t>
  </si>
  <si>
    <t>Humedad del suelo (lluvia)</t>
  </si>
  <si>
    <t>Sin estrés hídrico (lluvias normales)</t>
  </si>
  <si>
    <t>Sequía &gt;2 sem. (estrés hídrico severo)</t>
  </si>
  <si>
    <t>Menor follaje/espiga; 10–50% pérdida según severidad</t>
  </si>
  <si>
    <t>Heiniger, 2016</t>
  </si>
  <si>
    <t>Floración (espigado y polinización)</t>
  </si>
  <si>
    <t>Temp. aire &amp; humedad</t>
  </si>
  <si>
    <t>~30 °C con buena humedad (óptimo)</t>
  </si>
  <si>
    <t>&gt;35 °C + baja HR (pérdida viabilidad polen)</t>
  </si>
  <si>
    <t>Calor + Sequía</t>
  </si>
  <si>
    <t>Polinación fallida; hasta 100% pérdida (esterilidad mazorcas)</t>
  </si>
  <si>
    <t>Llenado de grano (grano lechoso–masoso)</t>
  </si>
  <si>
    <t>≈40</t>
  </si>
  <si>
    <t>Agua disponible</t>
  </si>
  <si>
    <t>Suministro hídrico adecuado (riego/lluvia normal)</t>
  </si>
  <si>
    <t>Sequía post-floración (especialmente inmediatamente tras espigado)</t>
  </si>
  <si>
    <t>Granos más livianos; ~20–30% menos rinde (sequía intensa)</t>
  </si>
  <si>
    <t>≈15</t>
  </si>
  <si>
    <t>Viento (lodging)</t>
  </si>
  <si>
    <t>Sin vientos fuertes en pre-cosecha</t>
  </si>
  <si>
    <t>Vientos huracanados (&gt;80 km/h) provocan vuelco</t>
  </si>
  <si>
    <t>Volcamiento de plantas; ~15–25% pérdida (cosecha dificultosa)</t>
  </si>
  <si>
    <t>Pioneer, 2018</t>
  </si>
  <si>
    <t>Trigo (secano)</t>
  </si>
  <si>
    <t>Temperatura/ humedad suelo</t>
  </si>
  <si>
    <t>≈12–25 °C (óptimo)</t>
  </si>
  <si>
    <t>&lt;4 °C o suelo seco (germinación lenta o nula)</t>
  </si>
  <si>
    <t>Frío/Sequía</t>
  </si>
  <si>
    <t>Emergencia irregular; stand reducido (pérdida ~10–30% según plantas faltantes)</t>
  </si>
  <si>
    <t>KSU Agronomy, 2018</t>
  </si>
  <si>
    <t>Macollamiento (fase vegetativa)</t>
  </si>
  <si>
    <t>Frío invernal (vernalización)</t>
  </si>
  <si>
    <t>≥6 semanas &lt;~10 °C (requerido para floración)</t>
  </si>
  <si>
    <t>&lt;4 semanas frío (vernalización insuficiente)</t>
  </si>
  <si>
    <t>Falta de frío</t>
  </si>
  <si>
    <t>No vern. = no espiga (0% rinde en trigo invierno)</t>
  </si>
  <si>
    <t>Sí (vernaliz. invierno; días largos p/ florac.)</t>
  </si>
  <si>
    <t>UNL, 2019</t>
  </si>
  <si>
    <t>Floración (espigado y antesis)</t>
  </si>
  <si>
    <t>Temperatura del aire</t>
  </si>
  <si>
    <t>≈19–23 °C (óptimo)</t>
  </si>
  <si>
    <t>≥30 °C (estrés térmico)</t>
  </si>
  <si>
    <t>Calor (golpe de calor)</t>
  </si>
  <si>
    <t>Grano chuzo; −22–38% rendimiento (olas de calor)</t>
  </si>
  <si>
    <t>Aiqing et al., 2018</t>
  </si>
  <si>
    <t>Llenado de grano (grano pastoso)</t>
  </si>
  <si>
    <t>≈20–22 °C (óptimo)</t>
  </si>
  <si>
    <t>&gt;28 °C sostenido (acorta llenado)</t>
  </si>
  <si>
    <t>Menor peso de grano; ~−6% rinde/ +1 °C &gt; óptimo</t>
  </si>
  <si>
    <t>Yadav &amp; Bhatt, 2024</t>
  </si>
  <si>
    <t>Viento/ Lluvia (acame)</t>
  </si>
  <si>
    <t>Clima seco, sin vientos (óptimo cosecha)</t>
  </si>
  <si>
    <t>Tormentas viento+lluvia (acame/seca granos)</t>
  </si>
  <si>
    <t>Acame de plantas; 10–57% pérdida de rinde</t>
  </si>
  <si>
    <t>Peng et al., 2014</t>
  </si>
  <si>
    <t>Soya (secano)</t>
  </si>
  <si>
    <t>≈28 °C (óptima)</t>
  </si>
  <si>
    <t>Baja emergencia; posible resiembra (pérdida ~1:1 con plántulas faltantes)</t>
  </si>
  <si>
    <t>Haque et al., 2020</t>
  </si>
  <si>
    <t>Exceso de agua (encharcamiento)</t>
  </si>
  <si>
    <t>Suelo bien drenado (óptimo)</t>
  </si>
  <si>
    <t>Inundación &gt;3 días (hipoxia radicular)</t>
  </si>
  <si>
    <t>Anegamiento</t>
  </si>
  <si>
    <t>Amarillamiento/muerte de plantas; −17–43% rinde (genotipos tol./susc.)</t>
  </si>
  <si>
    <t>Bayer CropScience, 2019</t>
  </si>
  <si>
    <t>Floración y formación de vainas (R1–R4)</t>
  </si>
  <si>
    <t>≈20</t>
  </si>
  <si>
    <t>~30 °C (óptimo)</t>
  </si>
  <si>
    <t>≥35 °C (estrés térmico, aborto floral)</t>
  </si>
  <si>
    <t>Abortos florales/vainas; −24–40% rendimiento (38 °C vs 30 °C)</t>
  </si>
  <si>
    <t>Sí (planta de días cortos)</t>
  </si>
  <si>
    <t>Thenveettil et al., 2024</t>
  </si>
  <si>
    <t>Llenado de grano (engorde R5–R6)</t>
  </si>
  <si>
    <t>Humedad adecuada suelo (óptimo)</t>
  </si>
  <si>
    <t>Sequía &gt;4 días en llenado crítico</t>
  </si>
  <si>
    <t>Semilla más pequeña; ~−40% rendimiento (sequía severa R5)</t>
  </si>
  <si>
    <t>Bayer, 2016</t>
  </si>
  <si>
    <t>Madurez y cosecha (R7–R8)</t>
  </si>
  <si>
    <t>Humedad ambiente</t>
  </si>
  <si>
    <t>Clima seco (&lt;60% HR, óptimo cosecha)</t>
  </si>
  <si>
    <t>Humedad alta + secado (&lt;11% H.grano) → desgrane</t>
  </si>
  <si>
    <t>Humedad alta / Viento</t>
  </si>
  <si>
    <t>Desgrane y pudrición; ~10–20% pérdida de rinde</t>
  </si>
  <si>
    <t>NC State Ext, 2015</t>
  </si>
  <si>
    <t>≈28–30 °C (óptimo)
https://link.springer.com/chapter/10.1007/978-3-319-77338-4_2#:~:text=The%20optimum%20temperature%20for%20rice,Yoshida%20%2026</t>
  </si>
  <si>
    <t>&gt;3 °C (crecimiento pobre)
https://link.springer.com/chapter/10.1007/978-3-319-77338-4_2#:~:text=The%20optimum%20temperature%20for%20rice,Yoshida%20%2026</t>
  </si>
  <si>
    <t>Sarsu et al., 2018
https://link.springer.com/chapter/10.1007/978-3-319-77338-4_2#:~:text=The%20optimum%20temperature%20for%20rice,Yoshida%20%2026</t>
  </si>
  <si>
    <t>Reducción de macollos; hasta ~90% menos rendimiento (sequía extrema)
https://www.frontiersin.org/journals/plant-science/articles/10.3389/fpls.2023.1215371/full</t>
  </si>
  <si>
    <t>Basnayake 2006 (Frontiers 2023)
https://www.frontiersin.org/journals/plant-science/articles/10.3389/fpls.2023.1215371/full</t>
  </si>
  <si>
    <t>&gt;33 °C (umbral; &gt;35 °C por 5 días causa esterilidad)
https://link.springer.com/chapter/10.1007/978-3-319-77338-4_2#:~:text=fertilization%20processes%20leading%20to%20decreased,the%20most%20sensitive%20stages%20for</t>
  </si>
  <si>
    <t>Esterilidad de espiguillas; &gt;50% pérdida potencial (casos extremos)
https://link.springer.com/chapter/10.1007/978-3-319-77338-4_2#:~:text=fertilization%20processes%20leading%20to%20decreased,the%20most%20sensitive%20stages%20for</t>
  </si>
  <si>
    <t>Sí (fotoperiodo corto en variedades)
https://pmc.ncbi.nlm.nih.gov/articles/PMC7821112/#:~:text=,LDs%29</t>
  </si>
  <si>
    <t>Satake &amp; Yoshida 1978
https://link.springer.com/chapter/10.1007/978-3-319-77338-4_2#:~:text=fertilization%20processes%20leading%20to%20decreased,the%20most%20sensitive%20stages%20for</t>
  </si>
  <si>
    <t>Latitud</t>
  </si>
  <si>
    <t>Inicio</t>
  </si>
  <si>
    <t>Hemisferio</t>
  </si>
  <si>
    <t>Inicio (siembra)</t>
  </si>
  <si>
    <t>Fin (cosecha)</t>
  </si>
  <si>
    <t>10°</t>
  </si>
  <si>
    <t>Norte</t>
  </si>
  <si>
    <t>1ª quincena de junio</t>
  </si>
  <si>
    <t>2ª quincena de octubre</t>
  </si>
  <si>
    <t>Sur</t>
  </si>
  <si>
    <t>2ª quincena de marzo</t>
  </si>
  <si>
    <t>2ª quincena de julio</t>
  </si>
  <si>
    <t>20°</t>
  </si>
  <si>
    <t>1ª quincena de noviembre</t>
  </si>
  <si>
    <t>2ª quincena de septiembre</t>
  </si>
  <si>
    <t>30°</t>
  </si>
  <si>
    <t>2ª quincena de noviembre</t>
  </si>
  <si>
    <t>2ª quincena de junio</t>
  </si>
  <si>
    <t>40°</t>
  </si>
  <si>
    <t>1ª quincena de diciembre</t>
  </si>
  <si>
    <t>1ª quincena de julio</t>
  </si>
  <si>
    <t>1ª quincena de abril</t>
  </si>
  <si>
    <t>1ª quincena de octubre</t>
  </si>
  <si>
    <t>2ª quincena de abril</t>
  </si>
  <si>
    <t>1ª quincena de marzo</t>
  </si>
  <si>
    <t>1ª quincena de mayo</t>
  </si>
  <si>
    <r>
      <t xml:space="preserve">— </t>
    </r>
    <r>
      <rPr>
        <i/>
        <sz val="11"/>
        <color theme="1"/>
        <rFont val="Calibri"/>
        <family val="2"/>
        <scheme val="minor"/>
      </rPr>
      <t>(poco cultivado sin riego)</t>
    </r>
  </si>
  <si>
    <t>—</t>
  </si>
  <si>
    <t>2ª quincena de enero</t>
  </si>
  <si>
    <t>2ª quincena de febrero</t>
  </si>
  <si>
    <t>2ª quincena de mayo</t>
  </si>
  <si>
    <t>https://resilience.igad.int/resource/strengthening-agricultural-decisions-in-countries-at-risk-of-food-insecurity-the-geoglam-crop-monitor-for-early-warning/?utm_source=chatgpt.com</t>
  </si>
  <si>
    <t>https://www.geoglam.org/</t>
  </si>
  <si>
    <t>https://old.earthobservations.org/geoglam_resources/1%20Home/Planning%20and%20Reporting/GEOGLAM%202020-2022%20WkPln.pdf?utm_source=chatgpt.com</t>
  </si>
  <si>
    <t>https://www.cropmonitor.org/baseline-data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</si>
</sst>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37352</xdr:colOff>
      <xdr:row>25</xdr:row>
      <xdr:rowOff>153229</xdr:rowOff>
    </xdr:from>
    <xdr:to>
      <xdr:col>9</xdr:col>
      <xdr:colOff>1726202</xdr:colOff>
      <xdr:row>55</xdr:row>
      <xdr:rowOff>100258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364719-7547-0354-C7B0-BBB15755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176" y="4433876"/>
          <a:ext cx="8516967" cy="4877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0953-BC76-403B-9437-2507501B61E6}">
  <dimension ref="A1:L26"/>
  <sheetViews>
    <sheetView tabSelected="1" topLeftCell="A20" zoomScale="85" zoomScaleNormal="85" workbookViewId="0">
      <selection activeCell="C25" sqref="C25"/>
    </sheetView>
  </sheetViews>
  <sheetFormatPr baseColWidth="10" defaultRowHeight="13" x14ac:dyDescent="0.3"/>
  <cols>
    <col min="1" max="1" width="7.54296875" style="1" bestFit="1" customWidth="1"/>
    <col min="2" max="3" width="11.1796875" style="1" bestFit="1" customWidth="1"/>
    <col min="4" max="4" width="8.1796875" style="1" bestFit="1" customWidth="1"/>
    <col min="5" max="5" width="3.90625" style="1" bestFit="1" customWidth="1"/>
    <col min="6" max="6" width="10.90625" style="1"/>
    <col min="7" max="7" width="27.54296875" style="1" customWidth="1"/>
    <col min="8" max="8" width="25" style="1" bestFit="1" customWidth="1"/>
    <col min="9" max="9" width="10.81640625" style="1" bestFit="1" customWidth="1"/>
    <col min="10" max="10" width="35.1796875" style="1" bestFit="1" customWidth="1"/>
    <col min="11" max="11" width="11.81640625" style="1" bestFit="1" customWidth="1"/>
    <col min="12" max="12" width="26.81640625" style="1" bestFit="1" customWidth="1"/>
    <col min="13" max="16384" width="10.90625" style="1"/>
  </cols>
  <sheetData>
    <row r="1" spans="1:12" ht="26" x14ac:dyDescent="0.3">
      <c r="A1" s="2" t="s">
        <v>0</v>
      </c>
      <c r="B1" s="2" t="s">
        <v>23</v>
      </c>
      <c r="C1" s="2" t="s">
        <v>24</v>
      </c>
      <c r="D1" s="2" t="s">
        <v>25</v>
      </c>
      <c r="E1" s="2"/>
      <c r="F1" s="2" t="s">
        <v>26</v>
      </c>
      <c r="G1" s="2" t="s">
        <v>1</v>
      </c>
      <c r="H1" s="2" t="s">
        <v>2</v>
      </c>
      <c r="I1" s="2" t="s">
        <v>27</v>
      </c>
      <c r="J1" s="2" t="s">
        <v>28</v>
      </c>
      <c r="K1" s="2" t="s">
        <v>29</v>
      </c>
      <c r="L1" s="2" t="s">
        <v>30</v>
      </c>
    </row>
    <row r="2" spans="1:12" ht="91" x14ac:dyDescent="0.3">
      <c r="A2" s="9" t="s">
        <v>3</v>
      </c>
      <c r="B2" s="9" t="s">
        <v>4</v>
      </c>
      <c r="C2" s="9" t="s">
        <v>9</v>
      </c>
      <c r="D2" s="9" t="s">
        <v>31</v>
      </c>
      <c r="E2" s="9">
        <v>7</v>
      </c>
      <c r="F2" s="9" t="s">
        <v>14</v>
      </c>
      <c r="G2" s="9" t="s">
        <v>140</v>
      </c>
      <c r="H2" s="9" t="s">
        <v>141</v>
      </c>
      <c r="I2" s="9" t="s">
        <v>19</v>
      </c>
      <c r="J2" s="9" t="s">
        <v>32</v>
      </c>
      <c r="K2" s="9" t="s">
        <v>22</v>
      </c>
      <c r="L2" s="9" t="s">
        <v>142</v>
      </c>
    </row>
    <row r="3" spans="1:12" ht="78" hidden="1" x14ac:dyDescent="0.3">
      <c r="A3" s="9" t="s">
        <v>3</v>
      </c>
      <c r="B3" s="9" t="s">
        <v>5</v>
      </c>
      <c r="C3" s="9" t="s">
        <v>10</v>
      </c>
      <c r="D3" s="9" t="s">
        <v>33</v>
      </c>
      <c r="E3" s="9">
        <f>E2+30</f>
        <v>37</v>
      </c>
      <c r="F3" s="9" t="s">
        <v>15</v>
      </c>
      <c r="G3" s="9" t="s">
        <v>34</v>
      </c>
      <c r="H3" s="9" t="s">
        <v>35</v>
      </c>
      <c r="I3" s="9" t="s">
        <v>20</v>
      </c>
      <c r="J3" s="9" t="s">
        <v>143</v>
      </c>
      <c r="K3" s="9" t="s">
        <v>22</v>
      </c>
      <c r="L3" s="9" t="s">
        <v>144</v>
      </c>
    </row>
    <row r="4" spans="1:12" ht="130" hidden="1" x14ac:dyDescent="0.3">
      <c r="A4" s="9" t="s">
        <v>3</v>
      </c>
      <c r="B4" s="9" t="s">
        <v>6</v>
      </c>
      <c r="C4" s="9" t="s">
        <v>11</v>
      </c>
      <c r="D4" s="9" t="s">
        <v>31</v>
      </c>
      <c r="E4" s="9">
        <f>E3+7</f>
        <v>44</v>
      </c>
      <c r="F4" s="9" t="s">
        <v>16</v>
      </c>
      <c r="G4" s="9" t="s">
        <v>36</v>
      </c>
      <c r="H4" s="9" t="s">
        <v>145</v>
      </c>
      <c r="I4" s="9" t="s">
        <v>19</v>
      </c>
      <c r="J4" s="9" t="s">
        <v>146</v>
      </c>
      <c r="K4" s="9" t="s">
        <v>147</v>
      </c>
      <c r="L4" s="9" t="s">
        <v>148</v>
      </c>
    </row>
    <row r="5" spans="1:12" ht="52" hidden="1" x14ac:dyDescent="0.3">
      <c r="A5" s="9" t="s">
        <v>3</v>
      </c>
      <c r="B5" s="9" t="s">
        <v>7</v>
      </c>
      <c r="C5" s="9" t="s">
        <v>12</v>
      </c>
      <c r="D5" s="9" t="s">
        <v>33</v>
      </c>
      <c r="E5" s="9">
        <f>E4+30</f>
        <v>74</v>
      </c>
      <c r="F5" s="9" t="s">
        <v>17</v>
      </c>
      <c r="G5" s="9" t="s">
        <v>37</v>
      </c>
      <c r="H5" s="9" t="s">
        <v>38</v>
      </c>
      <c r="I5" s="9" t="s">
        <v>19</v>
      </c>
      <c r="J5" s="9" t="s">
        <v>39</v>
      </c>
      <c r="K5" s="9" t="s">
        <v>22</v>
      </c>
      <c r="L5" s="9" t="s">
        <v>40</v>
      </c>
    </row>
    <row r="6" spans="1:12" ht="26" hidden="1" x14ac:dyDescent="0.3">
      <c r="A6" s="9" t="s">
        <v>3</v>
      </c>
      <c r="B6" s="9" t="s">
        <v>8</v>
      </c>
      <c r="C6" s="9" t="s">
        <v>13</v>
      </c>
      <c r="D6" s="9" t="s">
        <v>41</v>
      </c>
      <c r="E6" s="10">
        <f>E5+10</f>
        <v>84</v>
      </c>
      <c r="F6" s="9" t="s">
        <v>18</v>
      </c>
      <c r="G6" s="9" t="s">
        <v>42</v>
      </c>
      <c r="H6" s="9" t="s">
        <v>43</v>
      </c>
      <c r="I6" s="9" t="s">
        <v>21</v>
      </c>
      <c r="J6" s="9" t="s">
        <v>44</v>
      </c>
      <c r="K6" s="9" t="s">
        <v>22</v>
      </c>
      <c r="L6" s="9" t="s">
        <v>45</v>
      </c>
    </row>
    <row r="7" spans="1:12" ht="39" hidden="1" x14ac:dyDescent="0.3">
      <c r="A7" s="7" t="s">
        <v>46</v>
      </c>
      <c r="B7" s="7" t="s">
        <v>4</v>
      </c>
      <c r="C7" s="7" t="s">
        <v>9</v>
      </c>
      <c r="D7" s="7" t="s">
        <v>47</v>
      </c>
      <c r="E7" s="7">
        <f>7</f>
        <v>7</v>
      </c>
      <c r="F7" s="7" t="s">
        <v>14</v>
      </c>
      <c r="G7" s="7" t="s">
        <v>48</v>
      </c>
      <c r="H7" s="7" t="s">
        <v>49</v>
      </c>
      <c r="I7" s="7" t="s">
        <v>50</v>
      </c>
      <c r="J7" s="7" t="s">
        <v>51</v>
      </c>
      <c r="K7" s="7" t="s">
        <v>52</v>
      </c>
      <c r="L7" s="7" t="s">
        <v>53</v>
      </c>
    </row>
    <row r="8" spans="1:12" ht="39" x14ac:dyDescent="0.3">
      <c r="A8" s="7" t="s">
        <v>46</v>
      </c>
      <c r="B8" s="7" t="s">
        <v>5</v>
      </c>
      <c r="C8" s="7" t="s">
        <v>54</v>
      </c>
      <c r="D8" s="7" t="s">
        <v>55</v>
      </c>
      <c r="E8" s="7">
        <f>E7+50</f>
        <v>57</v>
      </c>
      <c r="F8" s="7" t="s">
        <v>56</v>
      </c>
      <c r="G8" s="7" t="s">
        <v>57</v>
      </c>
      <c r="H8" s="7" t="s">
        <v>58</v>
      </c>
      <c r="I8" s="7" t="s">
        <v>20</v>
      </c>
      <c r="J8" s="7" t="s">
        <v>59</v>
      </c>
      <c r="K8" s="7" t="s">
        <v>22</v>
      </c>
      <c r="L8" s="7" t="s">
        <v>60</v>
      </c>
    </row>
    <row r="9" spans="1:12" ht="39" hidden="1" x14ac:dyDescent="0.3">
      <c r="A9" s="7" t="s">
        <v>46</v>
      </c>
      <c r="B9" s="7" t="s">
        <v>6</v>
      </c>
      <c r="C9" s="7" t="s">
        <v>61</v>
      </c>
      <c r="D9" s="7" t="s">
        <v>31</v>
      </c>
      <c r="E9" s="7">
        <f>E8+7</f>
        <v>64</v>
      </c>
      <c r="F9" s="7" t="s">
        <v>62</v>
      </c>
      <c r="G9" s="7" t="s">
        <v>63</v>
      </c>
      <c r="H9" s="7" t="s">
        <v>64</v>
      </c>
      <c r="I9" s="7" t="s">
        <v>65</v>
      </c>
      <c r="J9" s="7" t="s">
        <v>66</v>
      </c>
      <c r="K9" s="7" t="s">
        <v>22</v>
      </c>
      <c r="L9" s="7" t="s">
        <v>60</v>
      </c>
    </row>
    <row r="10" spans="1:12" ht="52" hidden="1" x14ac:dyDescent="0.3">
      <c r="A10" s="7" t="s">
        <v>46</v>
      </c>
      <c r="B10" s="7" t="s">
        <v>7</v>
      </c>
      <c r="C10" s="7" t="s">
        <v>67</v>
      </c>
      <c r="D10" s="7" t="s">
        <v>68</v>
      </c>
      <c r="E10" s="7">
        <f>E9+40</f>
        <v>104</v>
      </c>
      <c r="F10" s="7" t="s">
        <v>69</v>
      </c>
      <c r="G10" s="7" t="s">
        <v>70</v>
      </c>
      <c r="H10" s="7" t="s">
        <v>71</v>
      </c>
      <c r="I10" s="7" t="s">
        <v>20</v>
      </c>
      <c r="J10" s="7" t="s">
        <v>72</v>
      </c>
      <c r="K10" s="7" t="s">
        <v>22</v>
      </c>
      <c r="L10" s="7" t="s">
        <v>60</v>
      </c>
    </row>
    <row r="11" spans="1:12" ht="26" hidden="1" x14ac:dyDescent="0.3">
      <c r="A11" s="7" t="s">
        <v>46</v>
      </c>
      <c r="B11" s="7" t="s">
        <v>8</v>
      </c>
      <c r="C11" s="7" t="s">
        <v>13</v>
      </c>
      <c r="D11" s="7" t="s">
        <v>73</v>
      </c>
      <c r="E11" s="8">
        <f>E10+15</f>
        <v>119</v>
      </c>
      <c r="F11" s="7" t="s">
        <v>74</v>
      </c>
      <c r="G11" s="7" t="s">
        <v>75</v>
      </c>
      <c r="H11" s="7" t="s">
        <v>76</v>
      </c>
      <c r="I11" s="7" t="s">
        <v>21</v>
      </c>
      <c r="J11" s="7" t="s">
        <v>77</v>
      </c>
      <c r="K11" s="7" t="s">
        <v>22</v>
      </c>
      <c r="L11" s="7" t="s">
        <v>78</v>
      </c>
    </row>
    <row r="12" spans="1:12" ht="39" hidden="1" x14ac:dyDescent="0.3">
      <c r="A12" s="4" t="s">
        <v>79</v>
      </c>
      <c r="B12" s="4" t="s">
        <v>4</v>
      </c>
      <c r="C12" s="4" t="s">
        <v>9</v>
      </c>
      <c r="D12" s="4" t="s">
        <v>41</v>
      </c>
      <c r="E12" s="4">
        <v>10</v>
      </c>
      <c r="F12" s="4" t="s">
        <v>80</v>
      </c>
      <c r="G12" s="4" t="s">
        <v>81</v>
      </c>
      <c r="H12" s="4" t="s">
        <v>82</v>
      </c>
      <c r="I12" s="4" t="s">
        <v>83</v>
      </c>
      <c r="J12" s="4" t="s">
        <v>84</v>
      </c>
      <c r="K12" s="4" t="s">
        <v>22</v>
      </c>
      <c r="L12" s="4" t="s">
        <v>85</v>
      </c>
    </row>
    <row r="13" spans="1:12" ht="52" hidden="1" x14ac:dyDescent="0.3">
      <c r="A13" s="4" t="s">
        <v>79</v>
      </c>
      <c r="B13" s="4" t="s">
        <v>5</v>
      </c>
      <c r="C13" s="4" t="s">
        <v>86</v>
      </c>
      <c r="D13" s="4" t="s">
        <v>68</v>
      </c>
      <c r="E13" s="4">
        <f>E12+40</f>
        <v>50</v>
      </c>
      <c r="F13" s="4" t="s">
        <v>87</v>
      </c>
      <c r="G13" s="4" t="s">
        <v>88</v>
      </c>
      <c r="H13" s="4" t="s">
        <v>89</v>
      </c>
      <c r="I13" s="4" t="s">
        <v>90</v>
      </c>
      <c r="J13" s="4" t="s">
        <v>91</v>
      </c>
      <c r="K13" s="4" t="s">
        <v>92</v>
      </c>
      <c r="L13" s="4" t="s">
        <v>93</v>
      </c>
    </row>
    <row r="14" spans="1:12" ht="39" x14ac:dyDescent="0.3">
      <c r="A14" s="4" t="s">
        <v>79</v>
      </c>
      <c r="B14" s="4" t="s">
        <v>6</v>
      </c>
      <c r="C14" s="4" t="s">
        <v>94</v>
      </c>
      <c r="D14" s="4" t="s">
        <v>31</v>
      </c>
      <c r="E14" s="4">
        <f>E13+7</f>
        <v>57</v>
      </c>
      <c r="F14" s="4" t="s">
        <v>95</v>
      </c>
      <c r="G14" s="4" t="s">
        <v>96</v>
      </c>
      <c r="H14" s="4" t="s">
        <v>97</v>
      </c>
      <c r="I14" s="4" t="s">
        <v>98</v>
      </c>
      <c r="J14" s="4" t="s">
        <v>99</v>
      </c>
      <c r="K14" s="4" t="s">
        <v>22</v>
      </c>
      <c r="L14" s="4" t="s">
        <v>100</v>
      </c>
    </row>
    <row r="15" spans="1:12" ht="39" hidden="1" x14ac:dyDescent="0.3">
      <c r="A15" s="4" t="s">
        <v>79</v>
      </c>
      <c r="B15" s="4" t="s">
        <v>7</v>
      </c>
      <c r="C15" s="4" t="s">
        <v>101</v>
      </c>
      <c r="D15" s="4" t="s">
        <v>33</v>
      </c>
      <c r="E15" s="4">
        <f>E14+30</f>
        <v>87</v>
      </c>
      <c r="F15" s="4" t="s">
        <v>95</v>
      </c>
      <c r="G15" s="4" t="s">
        <v>102</v>
      </c>
      <c r="H15" s="4" t="s">
        <v>103</v>
      </c>
      <c r="I15" s="4" t="s">
        <v>19</v>
      </c>
      <c r="J15" s="4" t="s">
        <v>104</v>
      </c>
      <c r="K15" s="4" t="s">
        <v>22</v>
      </c>
      <c r="L15" s="4" t="s">
        <v>105</v>
      </c>
    </row>
    <row r="16" spans="1:12" ht="39" hidden="1" x14ac:dyDescent="0.3">
      <c r="A16" s="4" t="s">
        <v>79</v>
      </c>
      <c r="B16" s="4" t="s">
        <v>8</v>
      </c>
      <c r="C16" s="4" t="s">
        <v>13</v>
      </c>
      <c r="D16" s="4" t="s">
        <v>41</v>
      </c>
      <c r="E16" s="6">
        <f>E15+10</f>
        <v>97</v>
      </c>
      <c r="F16" s="4" t="s">
        <v>106</v>
      </c>
      <c r="G16" s="4" t="s">
        <v>107</v>
      </c>
      <c r="H16" s="4" t="s">
        <v>108</v>
      </c>
      <c r="I16" s="4" t="s">
        <v>21</v>
      </c>
      <c r="J16" s="4" t="s">
        <v>109</v>
      </c>
      <c r="K16" s="4" t="s">
        <v>22</v>
      </c>
      <c r="L16" s="4" t="s">
        <v>110</v>
      </c>
    </row>
    <row r="17" spans="1:12" ht="26" hidden="1" x14ac:dyDescent="0.3">
      <c r="A17" s="3" t="s">
        <v>111</v>
      </c>
      <c r="B17" s="3" t="s">
        <v>4</v>
      </c>
      <c r="C17" s="3" t="s">
        <v>9</v>
      </c>
      <c r="D17" s="3" t="s">
        <v>47</v>
      </c>
      <c r="E17" s="3">
        <v>7</v>
      </c>
      <c r="F17" s="3" t="s">
        <v>14</v>
      </c>
      <c r="G17" s="3" t="s">
        <v>112</v>
      </c>
      <c r="H17" s="3" t="s">
        <v>49</v>
      </c>
      <c r="I17" s="3" t="s">
        <v>50</v>
      </c>
      <c r="J17" s="3" t="s">
        <v>113</v>
      </c>
      <c r="K17" s="3" t="s">
        <v>22</v>
      </c>
      <c r="L17" s="3" t="s">
        <v>114</v>
      </c>
    </row>
    <row r="18" spans="1:12" ht="52" hidden="1" x14ac:dyDescent="0.3">
      <c r="A18" s="3" t="s">
        <v>111</v>
      </c>
      <c r="B18" s="3" t="s">
        <v>5</v>
      </c>
      <c r="C18" s="3" t="s">
        <v>54</v>
      </c>
      <c r="D18" s="3" t="s">
        <v>33</v>
      </c>
      <c r="E18" s="3">
        <f>E17+30</f>
        <v>37</v>
      </c>
      <c r="F18" s="3" t="s">
        <v>115</v>
      </c>
      <c r="G18" s="3" t="s">
        <v>116</v>
      </c>
      <c r="H18" s="3" t="s">
        <v>117</v>
      </c>
      <c r="I18" s="3" t="s">
        <v>118</v>
      </c>
      <c r="J18" s="3" t="s">
        <v>119</v>
      </c>
      <c r="K18" s="3" t="s">
        <v>22</v>
      </c>
      <c r="L18" s="3" t="s">
        <v>120</v>
      </c>
    </row>
    <row r="19" spans="1:12" ht="52" hidden="1" x14ac:dyDescent="0.3">
      <c r="A19" s="3" t="s">
        <v>111</v>
      </c>
      <c r="B19" s="3" t="s">
        <v>6</v>
      </c>
      <c r="C19" s="3" t="s">
        <v>121</v>
      </c>
      <c r="D19" s="3" t="s">
        <v>122</v>
      </c>
      <c r="E19" s="3">
        <f>E18+20</f>
        <v>57</v>
      </c>
      <c r="F19" s="3" t="s">
        <v>95</v>
      </c>
      <c r="G19" s="3" t="s">
        <v>123</v>
      </c>
      <c r="H19" s="3" t="s">
        <v>124</v>
      </c>
      <c r="I19" s="3" t="s">
        <v>19</v>
      </c>
      <c r="J19" s="3" t="s">
        <v>125</v>
      </c>
      <c r="K19" s="3" t="s">
        <v>126</v>
      </c>
      <c r="L19" s="3" t="s">
        <v>127</v>
      </c>
    </row>
    <row r="20" spans="1:12" ht="52" x14ac:dyDescent="0.3">
      <c r="A20" s="3" t="s">
        <v>111</v>
      </c>
      <c r="B20" s="3" t="s">
        <v>7</v>
      </c>
      <c r="C20" s="3" t="s">
        <v>128</v>
      </c>
      <c r="D20" s="3" t="s">
        <v>33</v>
      </c>
      <c r="E20" s="3">
        <f>E19+30</f>
        <v>87</v>
      </c>
      <c r="F20" s="3" t="s">
        <v>69</v>
      </c>
      <c r="G20" s="3" t="s">
        <v>129</v>
      </c>
      <c r="H20" s="3" t="s">
        <v>130</v>
      </c>
      <c r="I20" s="3" t="s">
        <v>20</v>
      </c>
      <c r="J20" s="3" t="s">
        <v>131</v>
      </c>
      <c r="K20" s="3" t="s">
        <v>22</v>
      </c>
      <c r="L20" s="3" t="s">
        <v>132</v>
      </c>
    </row>
    <row r="21" spans="1:12" ht="39" x14ac:dyDescent="0.3">
      <c r="A21" s="3" t="s">
        <v>111</v>
      </c>
      <c r="B21" s="3" t="s">
        <v>8</v>
      </c>
      <c r="C21" s="3" t="s">
        <v>133</v>
      </c>
      <c r="D21" s="3" t="s">
        <v>73</v>
      </c>
      <c r="E21" s="5">
        <f>E20+15</f>
        <v>102</v>
      </c>
      <c r="F21" s="3" t="s">
        <v>134</v>
      </c>
      <c r="G21" s="3" t="s">
        <v>135</v>
      </c>
      <c r="H21" s="3" t="s">
        <v>136</v>
      </c>
      <c r="I21" s="3" t="s">
        <v>137</v>
      </c>
      <c r="J21" s="3" t="s">
        <v>138</v>
      </c>
      <c r="K21" s="3" t="s">
        <v>22</v>
      </c>
      <c r="L21" s="3" t="s">
        <v>139</v>
      </c>
    </row>
    <row r="24" spans="1:12" x14ac:dyDescent="0.3">
      <c r="K24" s="1" t="s">
        <v>180</v>
      </c>
    </row>
    <row r="25" spans="1:12" x14ac:dyDescent="0.3">
      <c r="C25" s="1" t="s">
        <v>183</v>
      </c>
      <c r="K25" s="1" t="s">
        <v>181</v>
      </c>
    </row>
    <row r="26" spans="1:12" x14ac:dyDescent="0.3">
      <c r="K26" s="1" t="s">
        <v>182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B18F-7B29-49DF-920B-5A55F9C6BF84}">
  <dimension ref="A1:D9"/>
  <sheetViews>
    <sheetView workbookViewId="0">
      <selection activeCell="C2" sqref="C2"/>
    </sheetView>
  </sheetViews>
  <sheetFormatPr baseColWidth="10" defaultRowHeight="14.5" x14ac:dyDescent="0.35"/>
  <cols>
    <col min="3" max="3" width="24" customWidth="1"/>
    <col min="4" max="4" width="32.453125" customWidth="1"/>
  </cols>
  <sheetData>
    <row r="1" spans="1:4" x14ac:dyDescent="0.35">
      <c r="A1" s="11" t="s">
        <v>149</v>
      </c>
      <c r="B1" s="11" t="s">
        <v>151</v>
      </c>
      <c r="C1" s="11" t="s">
        <v>152</v>
      </c>
      <c r="D1" s="11" t="s">
        <v>153</v>
      </c>
    </row>
    <row r="2" spans="1:4" x14ac:dyDescent="0.35">
      <c r="A2" s="13" t="s">
        <v>154</v>
      </c>
      <c r="B2" s="12" t="s">
        <v>155</v>
      </c>
      <c r="C2" s="12" t="s">
        <v>156</v>
      </c>
      <c r="D2" s="12" t="s">
        <v>157</v>
      </c>
    </row>
    <row r="3" spans="1:4" x14ac:dyDescent="0.35">
      <c r="A3" s="13" t="s">
        <v>154</v>
      </c>
      <c r="B3" s="12" t="s">
        <v>158</v>
      </c>
      <c r="C3" s="12" t="s">
        <v>159</v>
      </c>
      <c r="D3" s="12" t="s">
        <v>160</v>
      </c>
    </row>
    <row r="4" spans="1:4" x14ac:dyDescent="0.35">
      <c r="A4" s="13" t="s">
        <v>161</v>
      </c>
      <c r="B4" s="12" t="s">
        <v>155</v>
      </c>
      <c r="C4" s="12" t="s">
        <v>162</v>
      </c>
      <c r="D4" s="12" t="s">
        <v>159</v>
      </c>
    </row>
    <row r="5" spans="1:4" x14ac:dyDescent="0.35">
      <c r="A5" s="13" t="s">
        <v>161</v>
      </c>
      <c r="B5" s="12" t="s">
        <v>158</v>
      </c>
      <c r="C5" s="12" t="s">
        <v>156</v>
      </c>
      <c r="D5" s="12" t="s">
        <v>163</v>
      </c>
    </row>
    <row r="6" spans="1:4" x14ac:dyDescent="0.35">
      <c r="A6" s="13" t="s">
        <v>164</v>
      </c>
      <c r="B6" s="12" t="s">
        <v>155</v>
      </c>
      <c r="C6" s="12" t="s">
        <v>165</v>
      </c>
      <c r="D6" s="12" t="s">
        <v>166</v>
      </c>
    </row>
    <row r="7" spans="1:4" x14ac:dyDescent="0.35">
      <c r="A7" s="13" t="s">
        <v>164</v>
      </c>
      <c r="B7" s="12" t="s">
        <v>158</v>
      </c>
      <c r="C7" s="12" t="s">
        <v>156</v>
      </c>
      <c r="D7" s="12" t="s">
        <v>165</v>
      </c>
    </row>
    <row r="8" spans="1:4" x14ac:dyDescent="0.35">
      <c r="A8" s="13" t="s">
        <v>167</v>
      </c>
      <c r="B8" s="12" t="s">
        <v>155</v>
      </c>
      <c r="C8" s="12" t="s">
        <v>162</v>
      </c>
      <c r="D8" s="12" t="s">
        <v>166</v>
      </c>
    </row>
    <row r="9" spans="1:4" x14ac:dyDescent="0.35">
      <c r="A9" s="13" t="s">
        <v>167</v>
      </c>
      <c r="B9" s="12" t="s">
        <v>158</v>
      </c>
      <c r="C9" s="12" t="s">
        <v>166</v>
      </c>
      <c r="D9" s="12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FEAF-4844-4DF1-89D8-67541601C17A}">
  <dimension ref="A1:D9"/>
  <sheetViews>
    <sheetView workbookViewId="0">
      <selection sqref="A1:XFD1048576"/>
    </sheetView>
  </sheetViews>
  <sheetFormatPr baseColWidth="10" defaultRowHeight="14.5" x14ac:dyDescent="0.35"/>
  <cols>
    <col min="3" max="3" width="26.36328125" customWidth="1"/>
    <col min="4" max="4" width="30.54296875" customWidth="1"/>
  </cols>
  <sheetData>
    <row r="1" spans="1:4" x14ac:dyDescent="0.35">
      <c r="A1" s="11" t="s">
        <v>149</v>
      </c>
      <c r="B1" s="11" t="s">
        <v>151</v>
      </c>
      <c r="C1" s="11" t="s">
        <v>152</v>
      </c>
      <c r="D1" s="11" t="s">
        <v>153</v>
      </c>
    </row>
    <row r="2" spans="1:4" x14ac:dyDescent="0.35">
      <c r="A2" s="13" t="s">
        <v>154</v>
      </c>
      <c r="B2" s="12" t="s">
        <v>155</v>
      </c>
      <c r="C2" s="12" t="s">
        <v>169</v>
      </c>
      <c r="D2" s="12" t="s">
        <v>157</v>
      </c>
    </row>
    <row r="3" spans="1:4" x14ac:dyDescent="0.35">
      <c r="A3" s="13" t="s">
        <v>154</v>
      </c>
      <c r="B3" s="12" t="s">
        <v>158</v>
      </c>
      <c r="C3" s="12" t="s">
        <v>165</v>
      </c>
      <c r="D3" s="12" t="s">
        <v>170</v>
      </c>
    </row>
    <row r="4" spans="1:4" x14ac:dyDescent="0.35">
      <c r="A4" s="13" t="s">
        <v>161</v>
      </c>
      <c r="B4" s="12" t="s">
        <v>155</v>
      </c>
      <c r="C4" s="12" t="s">
        <v>166</v>
      </c>
      <c r="D4" s="12" t="s">
        <v>171</v>
      </c>
    </row>
    <row r="5" spans="1:4" x14ac:dyDescent="0.35">
      <c r="A5" s="13" t="s">
        <v>161</v>
      </c>
      <c r="B5" s="12" t="s">
        <v>158</v>
      </c>
      <c r="C5" s="12" t="s">
        <v>165</v>
      </c>
      <c r="D5" s="12" t="s">
        <v>170</v>
      </c>
    </row>
    <row r="6" spans="1:4" x14ac:dyDescent="0.35">
      <c r="A6" s="13" t="s">
        <v>164</v>
      </c>
      <c r="B6" s="12" t="s">
        <v>155</v>
      </c>
      <c r="C6" s="12" t="s">
        <v>170</v>
      </c>
      <c r="D6" s="12" t="s">
        <v>163</v>
      </c>
    </row>
    <row r="7" spans="1:4" x14ac:dyDescent="0.35">
      <c r="A7" s="13" t="s">
        <v>164</v>
      </c>
      <c r="B7" s="12" t="s">
        <v>158</v>
      </c>
      <c r="C7" s="12" t="s">
        <v>157</v>
      </c>
      <c r="D7" s="12" t="s">
        <v>159</v>
      </c>
    </row>
    <row r="8" spans="1:4" x14ac:dyDescent="0.35">
      <c r="A8" s="13" t="s">
        <v>167</v>
      </c>
      <c r="B8" s="12" t="s">
        <v>155</v>
      </c>
      <c r="C8" s="12" t="s">
        <v>172</v>
      </c>
      <c r="D8" s="12" t="s">
        <v>171</v>
      </c>
    </row>
    <row r="9" spans="1:4" x14ac:dyDescent="0.35">
      <c r="A9" s="13" t="s">
        <v>167</v>
      </c>
      <c r="B9" s="12" t="s">
        <v>158</v>
      </c>
      <c r="C9" s="12" t="s">
        <v>171</v>
      </c>
      <c r="D9" s="1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0BFC-FFDE-4A2E-B451-E803FCDEBB49}">
  <dimension ref="A1:D9"/>
  <sheetViews>
    <sheetView workbookViewId="0">
      <selection sqref="A1:XFD1048576"/>
    </sheetView>
  </sheetViews>
  <sheetFormatPr baseColWidth="10" defaultRowHeight="14.5" x14ac:dyDescent="0.35"/>
  <cols>
    <col min="3" max="3" width="30.54296875" customWidth="1"/>
    <col min="4" max="4" width="24.36328125" customWidth="1"/>
  </cols>
  <sheetData>
    <row r="1" spans="1:4" x14ac:dyDescent="0.35">
      <c r="A1" s="11" t="s">
        <v>149</v>
      </c>
      <c r="B1" s="11" t="s">
        <v>151</v>
      </c>
      <c r="C1" s="11" t="s">
        <v>152</v>
      </c>
      <c r="D1" s="11" t="s">
        <v>153</v>
      </c>
    </row>
    <row r="2" spans="1:4" x14ac:dyDescent="0.35">
      <c r="A2" s="13" t="s">
        <v>154</v>
      </c>
      <c r="B2" s="12" t="s">
        <v>155</v>
      </c>
      <c r="C2" s="12" t="s">
        <v>156</v>
      </c>
      <c r="D2" s="12" t="s">
        <v>157</v>
      </c>
    </row>
    <row r="3" spans="1:4" x14ac:dyDescent="0.35">
      <c r="A3" s="13" t="s">
        <v>154</v>
      </c>
      <c r="B3" s="12" t="s">
        <v>158</v>
      </c>
      <c r="C3" s="12" t="s">
        <v>165</v>
      </c>
      <c r="D3" s="12" t="s">
        <v>173</v>
      </c>
    </row>
    <row r="4" spans="1:4" x14ac:dyDescent="0.35">
      <c r="A4" s="13" t="s">
        <v>161</v>
      </c>
      <c r="B4" s="12" t="s">
        <v>155</v>
      </c>
      <c r="C4" s="12" t="s">
        <v>166</v>
      </c>
      <c r="D4" s="12" t="s">
        <v>162</v>
      </c>
    </row>
    <row r="5" spans="1:4" x14ac:dyDescent="0.35">
      <c r="A5" s="13" t="s">
        <v>161</v>
      </c>
      <c r="B5" s="12" t="s">
        <v>158</v>
      </c>
      <c r="C5" s="12" t="s">
        <v>168</v>
      </c>
      <c r="D5" s="12" t="s">
        <v>172</v>
      </c>
    </row>
    <row r="6" spans="1:4" x14ac:dyDescent="0.35">
      <c r="A6" s="13" t="s">
        <v>164</v>
      </c>
      <c r="B6" s="12" t="s">
        <v>155</v>
      </c>
      <c r="C6" s="12" t="s">
        <v>166</v>
      </c>
      <c r="D6" s="12" t="s">
        <v>171</v>
      </c>
    </row>
    <row r="7" spans="1:4" x14ac:dyDescent="0.35">
      <c r="A7" s="13" t="s">
        <v>164</v>
      </c>
      <c r="B7" s="12" t="s">
        <v>158</v>
      </c>
      <c r="C7" s="12" t="s">
        <v>162</v>
      </c>
      <c r="D7" s="12" t="s">
        <v>159</v>
      </c>
    </row>
    <row r="8" spans="1:4" x14ac:dyDescent="0.35">
      <c r="A8" s="13" t="s">
        <v>167</v>
      </c>
      <c r="B8" s="12" t="s">
        <v>155</v>
      </c>
      <c r="C8" s="12" t="s">
        <v>174</v>
      </c>
      <c r="D8" s="12" t="s">
        <v>163</v>
      </c>
    </row>
    <row r="9" spans="1:4" x14ac:dyDescent="0.35">
      <c r="A9" s="13" t="s">
        <v>167</v>
      </c>
      <c r="B9" s="12" t="s">
        <v>158</v>
      </c>
      <c r="C9" s="12" t="s">
        <v>175</v>
      </c>
      <c r="D9" s="12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1E2C-EB8B-4D94-A814-56CBC8BF8D1D}">
  <dimension ref="A1:D9"/>
  <sheetViews>
    <sheetView workbookViewId="0">
      <selection activeCell="D11" sqref="D11"/>
    </sheetView>
  </sheetViews>
  <sheetFormatPr baseColWidth="10" defaultRowHeight="14.5" x14ac:dyDescent="0.35"/>
  <cols>
    <col min="3" max="3" width="25.36328125" customWidth="1"/>
    <col min="4" max="4" width="31.26953125" customWidth="1"/>
  </cols>
  <sheetData>
    <row r="1" spans="1:4" x14ac:dyDescent="0.35">
      <c r="A1" s="11" t="s">
        <v>149</v>
      </c>
      <c r="B1" s="11" t="s">
        <v>151</v>
      </c>
      <c r="C1" s="11" t="s">
        <v>152</v>
      </c>
      <c r="D1" s="11" t="s">
        <v>153</v>
      </c>
    </row>
    <row r="2" spans="1:4" x14ac:dyDescent="0.35">
      <c r="A2" s="13" t="s">
        <v>154</v>
      </c>
      <c r="B2" s="12" t="s">
        <v>155</v>
      </c>
      <c r="C2" s="12" t="s">
        <v>166</v>
      </c>
      <c r="D2" s="12" t="s">
        <v>171</v>
      </c>
    </row>
    <row r="3" spans="1:4" x14ac:dyDescent="0.35">
      <c r="A3" s="13" t="s">
        <v>154</v>
      </c>
      <c r="B3" s="12" t="s">
        <v>158</v>
      </c>
      <c r="C3" s="12" t="s">
        <v>171</v>
      </c>
      <c r="D3" s="12" t="s">
        <v>177</v>
      </c>
    </row>
    <row r="4" spans="1:4" x14ac:dyDescent="0.35">
      <c r="A4" s="13" t="s">
        <v>161</v>
      </c>
      <c r="B4" s="12" t="s">
        <v>155</v>
      </c>
      <c r="C4" s="12" t="s">
        <v>169</v>
      </c>
      <c r="D4" s="12" t="s">
        <v>157</v>
      </c>
    </row>
    <row r="5" spans="1:4" x14ac:dyDescent="0.35">
      <c r="A5" s="13" t="s">
        <v>161</v>
      </c>
      <c r="B5" s="12" t="s">
        <v>158</v>
      </c>
      <c r="C5" s="12" t="s">
        <v>171</v>
      </c>
      <c r="D5" s="12" t="s">
        <v>178</v>
      </c>
    </row>
    <row r="6" spans="1:4" x14ac:dyDescent="0.35">
      <c r="A6" s="13" t="s">
        <v>164</v>
      </c>
      <c r="B6" s="12" t="s">
        <v>155</v>
      </c>
      <c r="C6" s="12" t="s">
        <v>179</v>
      </c>
      <c r="D6" s="12" t="s">
        <v>171</v>
      </c>
    </row>
    <row r="7" spans="1:4" x14ac:dyDescent="0.35">
      <c r="A7" s="13" t="s">
        <v>164</v>
      </c>
      <c r="B7" s="12" t="s">
        <v>158</v>
      </c>
      <c r="C7" s="12" t="s">
        <v>157</v>
      </c>
      <c r="D7" s="12" t="s">
        <v>170</v>
      </c>
    </row>
    <row r="8" spans="1:4" x14ac:dyDescent="0.35">
      <c r="A8" s="13" t="s">
        <v>167</v>
      </c>
      <c r="B8" s="12" t="s">
        <v>155</v>
      </c>
      <c r="C8" s="12" t="s">
        <v>174</v>
      </c>
      <c r="D8" s="12" t="s">
        <v>157</v>
      </c>
    </row>
    <row r="9" spans="1:4" x14ac:dyDescent="0.35">
      <c r="A9" s="13" t="s">
        <v>167</v>
      </c>
      <c r="B9" s="12" t="s">
        <v>158</v>
      </c>
      <c r="C9" s="12" t="s">
        <v>175</v>
      </c>
      <c r="D9" s="12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0408-6081-4396-8B18-7CAF29D4168C}">
  <dimension ref="A1:B1"/>
  <sheetViews>
    <sheetView workbookViewId="0">
      <selection activeCell="C1" sqref="C1"/>
    </sheetView>
  </sheetViews>
  <sheetFormatPr baseColWidth="10" defaultRowHeight="14.5" x14ac:dyDescent="0.35"/>
  <sheetData>
    <row r="1" spans="1:2" x14ac:dyDescent="0.35">
      <c r="A1" t="s">
        <v>149</v>
      </c>
      <c r="B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Trigo</vt:lpstr>
      <vt:lpstr>Maiz</vt:lpstr>
      <vt:lpstr>Arroz</vt:lpstr>
      <vt:lpstr>Soya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Ruiz Franco</dc:creator>
  <cp:lastModifiedBy>Paola Andrea Ruiz Franco</cp:lastModifiedBy>
  <dcterms:created xsi:type="dcterms:W3CDTF">2025-10-23T00:43:28Z</dcterms:created>
  <dcterms:modified xsi:type="dcterms:W3CDTF">2025-11-13T14:32:21Z</dcterms:modified>
</cp:coreProperties>
</file>